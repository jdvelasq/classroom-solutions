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GitHub/SURA/SURA-conceptos-basicos-estadistica/"/>
    </mc:Choice>
  </mc:AlternateContent>
  <xr:revisionPtr revIDLastSave="0" documentId="13_ncr:1_{B07D78A0-0045-2848-84DC-E6854AD939DD}" xr6:coauthVersionLast="43" xr6:coauthVersionMax="43" xr10:uidLastSave="{00000000-0000-0000-0000-000000000000}"/>
  <bookViews>
    <workbookView xWindow="19880" yWindow="-21140" windowWidth="27780" windowHeight="20660" xr2:uid="{F68CCEB3-ECF1-AE41-9CE1-3E4063F934F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2" i="1" l="1"/>
  <c r="G41" i="1"/>
  <c r="G40" i="1"/>
  <c r="G39" i="1"/>
  <c r="F40" i="1"/>
  <c r="E40" i="1"/>
  <c r="D40" i="1"/>
  <c r="C40" i="1"/>
  <c r="B40" i="1"/>
  <c r="F39" i="1"/>
  <c r="D39" i="1"/>
  <c r="C39" i="1"/>
  <c r="E39" i="1"/>
  <c r="B39" i="1"/>
  <c r="H36" i="1"/>
  <c r="G36" i="1"/>
  <c r="G35" i="1"/>
  <c r="G34" i="1"/>
  <c r="F34" i="1"/>
  <c r="D34" i="1"/>
  <c r="C34" i="1"/>
  <c r="E34" i="1"/>
  <c r="B34" i="1"/>
  <c r="G33" i="1"/>
  <c r="E33" i="1"/>
  <c r="F33" i="1"/>
  <c r="D33" i="1"/>
  <c r="C33" i="1"/>
  <c r="B33" i="1"/>
  <c r="F29" i="1"/>
  <c r="E29" i="1"/>
  <c r="D29" i="1"/>
  <c r="C29" i="1"/>
  <c r="B29" i="1"/>
  <c r="F28" i="1"/>
  <c r="E28" i="1"/>
  <c r="D28" i="1"/>
  <c r="C28" i="1"/>
  <c r="B28" i="1"/>
  <c r="F25" i="1"/>
  <c r="E25" i="1"/>
  <c r="D25" i="1"/>
  <c r="C25" i="1"/>
  <c r="B25" i="1"/>
  <c r="F24" i="1"/>
  <c r="E24" i="1"/>
  <c r="D24" i="1"/>
  <c r="C24" i="1"/>
  <c r="B24" i="1"/>
  <c r="G20" i="1"/>
  <c r="G19" i="1"/>
  <c r="F20" i="1"/>
  <c r="E20" i="1"/>
  <c r="D20" i="1"/>
  <c r="C20" i="1"/>
  <c r="B20" i="1"/>
  <c r="F19" i="1"/>
  <c r="E19" i="1"/>
  <c r="D19" i="1"/>
  <c r="C19" i="1"/>
  <c r="B19" i="1"/>
  <c r="F14" i="1"/>
  <c r="E14" i="1"/>
  <c r="E15" i="1" s="1"/>
  <c r="D14" i="1"/>
  <c r="C14" i="1"/>
  <c r="F15" i="1"/>
  <c r="D15" i="1"/>
  <c r="C15" i="1"/>
  <c r="B15" i="1"/>
  <c r="B14" i="1"/>
  <c r="G11" i="1"/>
  <c r="F11" i="1"/>
  <c r="E11" i="1"/>
  <c r="D11" i="1"/>
  <c r="C11" i="1"/>
  <c r="B11" i="1"/>
  <c r="G42" i="1" l="1"/>
</calcChain>
</file>

<file path=xl/sharedStrings.xml><?xml version="1.0" encoding="utf-8"?>
<sst xmlns="http://schemas.openxmlformats.org/spreadsheetml/2006/main" count="39" uniqueCount="26">
  <si>
    <t>w1</t>
  </si>
  <si>
    <t>w2</t>
  </si>
  <si>
    <t>w3</t>
  </si>
  <si>
    <t>w4</t>
  </si>
  <si>
    <t>w5</t>
  </si>
  <si>
    <t>Dct</t>
  </si>
  <si>
    <t>Prob individual</t>
  </si>
  <si>
    <t>Ocurre</t>
  </si>
  <si>
    <t>No ocurre</t>
  </si>
  <si>
    <t>Probabilidad conjunta</t>
  </si>
  <si>
    <t>Spam</t>
  </si>
  <si>
    <t>legitimo</t>
  </si>
  <si>
    <t>spam</t>
  </si>
  <si>
    <t>ham</t>
  </si>
  <si>
    <t>Probabilidad condicional</t>
  </si>
  <si>
    <t>Probabilidad condicional NO</t>
  </si>
  <si>
    <t>Pr(wi | spam)</t>
  </si>
  <si>
    <t>not w2</t>
  </si>
  <si>
    <t xml:space="preserve"> not w3</t>
  </si>
  <si>
    <t>not w5</t>
  </si>
  <si>
    <t>=</t>
  </si>
  <si>
    <t>Pr(wi)</t>
  </si>
  <si>
    <t>Pr(Spam)</t>
  </si>
  <si>
    <t>Bayes</t>
  </si>
  <si>
    <t>Pr(wi | ham)</t>
  </si>
  <si>
    <t>Pr(ham)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</si>
</sst>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\ ???/???"/>
    <numFmt numFmtId="171" formatCode="0.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3" fontId="0" fillId="0" borderId="0" xfId="0" applyNumberFormat="1"/>
    <xf numFmtId="0" fontId="2" fillId="0" borderId="0" xfId="0" applyFont="1"/>
    <xf numFmtId="168" fontId="0" fillId="0" borderId="0" xfId="0" applyNumberFormat="1"/>
    <xf numFmtId="0" fontId="0" fillId="0" borderId="0" xfId="0" quotePrefix="1" applyAlignment="1">
      <alignment horizontal="right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0E15-E363-5F4A-954F-81A25FAEF188}">
  <dimension ref="A3:H42"/>
  <sheetViews>
    <sheetView tabSelected="1" topLeftCell="A13" zoomScale="150" zoomScaleNormal="150" workbookViewId="0">
      <selection activeCell="G39" sqref="G39:G40"/>
    </sheetView>
  </sheetViews>
  <sheetFormatPr baseColWidth="10" defaultRowHeight="16" x14ac:dyDescent="0.2"/>
  <cols>
    <col min="1" max="1" width="14.33203125" customWidth="1"/>
    <col min="2" max="6" width="9.83203125" customWidth="1"/>
    <col min="7" max="7" width="11.5" bestFit="1" customWidth="1"/>
  </cols>
  <sheetData>
    <row r="3" spans="1:7" x14ac:dyDescent="0.2">
      <c r="A3" t="s">
        <v>5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7" x14ac:dyDescent="0.2">
      <c r="A4">
        <v>1</v>
      </c>
      <c r="B4">
        <v>1</v>
      </c>
      <c r="C4">
        <v>0</v>
      </c>
      <c r="D4">
        <v>1</v>
      </c>
      <c r="E4">
        <v>0</v>
      </c>
      <c r="F4">
        <v>0</v>
      </c>
      <c r="G4" t="s">
        <v>12</v>
      </c>
    </row>
    <row r="5" spans="1:7" x14ac:dyDescent="0.2">
      <c r="A5">
        <v>2</v>
      </c>
      <c r="B5">
        <v>2</v>
      </c>
      <c r="C5">
        <v>1</v>
      </c>
      <c r="D5">
        <v>1</v>
      </c>
      <c r="E5">
        <v>0</v>
      </c>
      <c r="F5">
        <v>0</v>
      </c>
      <c r="G5" t="s">
        <v>12</v>
      </c>
    </row>
    <row r="6" spans="1:7" x14ac:dyDescent="0.2">
      <c r="A6">
        <v>3</v>
      </c>
      <c r="B6">
        <v>1</v>
      </c>
      <c r="C6">
        <v>1</v>
      </c>
      <c r="D6">
        <v>1</v>
      </c>
      <c r="E6">
        <v>1</v>
      </c>
      <c r="F6">
        <v>1</v>
      </c>
      <c r="G6" t="s">
        <v>12</v>
      </c>
    </row>
    <row r="7" spans="1:7" x14ac:dyDescent="0.2">
      <c r="A7">
        <v>4</v>
      </c>
      <c r="B7">
        <v>0</v>
      </c>
      <c r="C7">
        <v>1</v>
      </c>
      <c r="D7">
        <v>0</v>
      </c>
      <c r="E7">
        <v>1</v>
      </c>
      <c r="F7">
        <v>0</v>
      </c>
      <c r="G7" s="4" t="s">
        <v>13</v>
      </c>
    </row>
    <row r="8" spans="1:7" x14ac:dyDescent="0.2">
      <c r="A8">
        <v>5</v>
      </c>
      <c r="B8">
        <v>0</v>
      </c>
      <c r="C8">
        <v>1</v>
      </c>
      <c r="D8">
        <v>0</v>
      </c>
      <c r="E8">
        <v>1</v>
      </c>
      <c r="F8">
        <v>1</v>
      </c>
      <c r="G8" s="4" t="s">
        <v>13</v>
      </c>
    </row>
    <row r="9" spans="1:7" x14ac:dyDescent="0.2">
      <c r="A9">
        <v>6</v>
      </c>
      <c r="B9">
        <v>0</v>
      </c>
      <c r="C9">
        <v>2</v>
      </c>
      <c r="D9">
        <v>0</v>
      </c>
      <c r="E9">
        <v>1</v>
      </c>
      <c r="F9">
        <v>0</v>
      </c>
      <c r="G9" s="4" t="s">
        <v>13</v>
      </c>
    </row>
    <row r="10" spans="1:7" x14ac:dyDescent="0.2">
      <c r="A10">
        <v>7</v>
      </c>
      <c r="B10">
        <v>1</v>
      </c>
      <c r="C10">
        <v>1</v>
      </c>
      <c r="D10">
        <v>1</v>
      </c>
      <c r="E10">
        <v>1</v>
      </c>
      <c r="F10">
        <v>1</v>
      </c>
      <c r="G10" s="4" t="s">
        <v>13</v>
      </c>
    </row>
    <row r="11" spans="1:7" x14ac:dyDescent="0.2">
      <c r="B11" s="2">
        <f>+SUM(B4:B10)</f>
        <v>5</v>
      </c>
      <c r="C11" s="2">
        <f t="shared" ref="C11:F11" si="0">+SUM(C4:C10)</f>
        <v>7</v>
      </c>
      <c r="D11" s="2">
        <f t="shared" si="0"/>
        <v>4</v>
      </c>
      <c r="E11" s="2">
        <f t="shared" si="0"/>
        <v>5</v>
      </c>
      <c r="F11" s="2">
        <f t="shared" si="0"/>
        <v>3</v>
      </c>
      <c r="G11" s="2">
        <f>+SUM(B11:F11)</f>
        <v>24</v>
      </c>
    </row>
    <row r="13" spans="1:7" x14ac:dyDescent="0.2">
      <c r="A13" s="2" t="s">
        <v>6</v>
      </c>
    </row>
    <row r="14" spans="1:7" x14ac:dyDescent="0.2">
      <c r="A14" t="s">
        <v>7</v>
      </c>
      <c r="B14" s="3">
        <f>+B11/$G$11</f>
        <v>0.20833333333333334</v>
      </c>
      <c r="C14" s="3">
        <f t="shared" ref="C14:F14" si="1">+C11/$G$11</f>
        <v>0.29166666666666669</v>
      </c>
      <c r="D14" s="3">
        <f t="shared" si="1"/>
        <v>0.16666666666666666</v>
      </c>
      <c r="E14" s="3">
        <f t="shared" si="1"/>
        <v>0.20833333333333334</v>
      </c>
      <c r="F14" s="3">
        <f t="shared" si="1"/>
        <v>0.125</v>
      </c>
    </row>
    <row r="15" spans="1:7" x14ac:dyDescent="0.2">
      <c r="A15" t="s">
        <v>8</v>
      </c>
      <c r="B15" s="3">
        <f>1-B14</f>
        <v>0.79166666666666663</v>
      </c>
      <c r="C15" s="3">
        <f t="shared" ref="C15:F15" si="2">1-C14</f>
        <v>0.70833333333333326</v>
      </c>
      <c r="D15" s="3">
        <f t="shared" si="2"/>
        <v>0.83333333333333337</v>
      </c>
      <c r="E15" s="3">
        <f t="shared" si="2"/>
        <v>0.79166666666666663</v>
      </c>
      <c r="F15" s="3">
        <f t="shared" si="2"/>
        <v>0.875</v>
      </c>
    </row>
    <row r="18" spans="1:7" x14ac:dyDescent="0.2">
      <c r="A18" s="2" t="s">
        <v>9</v>
      </c>
    </row>
    <row r="19" spans="1:7" x14ac:dyDescent="0.2">
      <c r="A19" t="s">
        <v>10</v>
      </c>
      <c r="B19" s="5">
        <f>+SUM(B4:B6)/$G$11</f>
        <v>0.16666666666666666</v>
      </c>
      <c r="C19" s="5">
        <f t="shared" ref="C19:F19" si="3">+SUM(C4:C6)/$G$11</f>
        <v>8.3333333333333329E-2</v>
      </c>
      <c r="D19" s="5">
        <f t="shared" si="3"/>
        <v>0.125</v>
      </c>
      <c r="E19" s="5">
        <f t="shared" si="3"/>
        <v>4.1666666666666664E-2</v>
      </c>
      <c r="F19" s="5">
        <f t="shared" si="3"/>
        <v>4.1666666666666664E-2</v>
      </c>
      <c r="G19" s="5">
        <f>+SUM(B19:F19)</f>
        <v>0.45833333333333337</v>
      </c>
    </row>
    <row r="20" spans="1:7" x14ac:dyDescent="0.2">
      <c r="A20" t="s">
        <v>11</v>
      </c>
      <c r="B20" s="5">
        <f>+SUM(B7:B10)/$G$11</f>
        <v>4.1666666666666664E-2</v>
      </c>
      <c r="C20" s="5">
        <f t="shared" ref="C20:F20" si="4">+SUM(C7:C10)/$G$11</f>
        <v>0.20833333333333334</v>
      </c>
      <c r="D20" s="5">
        <f t="shared" si="4"/>
        <v>4.1666666666666664E-2</v>
      </c>
      <c r="E20" s="5">
        <f t="shared" si="4"/>
        <v>0.16666666666666666</v>
      </c>
      <c r="F20" s="5">
        <f t="shared" si="4"/>
        <v>8.3333333333333329E-2</v>
      </c>
      <c r="G20" s="5">
        <f>+SUM(B20:F20)</f>
        <v>0.54166666666666674</v>
      </c>
    </row>
    <row r="23" spans="1:7" x14ac:dyDescent="0.2">
      <c r="A23" s="2" t="s">
        <v>14</v>
      </c>
    </row>
    <row r="24" spans="1:7" x14ac:dyDescent="0.2">
      <c r="A24" t="s">
        <v>10</v>
      </c>
      <c r="B24" s="5">
        <f>+B19/$G19</f>
        <v>0.36363636363636359</v>
      </c>
      <c r="C24" s="5">
        <f t="shared" ref="C24:F25" si="5">+C19/$G19</f>
        <v>0.1818181818181818</v>
      </c>
      <c r="D24" s="5">
        <f t="shared" si="5"/>
        <v>0.27272727272727271</v>
      </c>
      <c r="E24" s="5">
        <f t="shared" si="5"/>
        <v>9.0909090909090898E-2</v>
      </c>
      <c r="F24" s="5">
        <f t="shared" si="5"/>
        <v>9.0909090909090898E-2</v>
      </c>
    </row>
    <row r="25" spans="1:7" x14ac:dyDescent="0.2">
      <c r="A25" t="s">
        <v>11</v>
      </c>
      <c r="B25" s="5">
        <f>+B20/$G20</f>
        <v>7.6923076923076913E-2</v>
      </c>
      <c r="C25" s="5">
        <f t="shared" si="5"/>
        <v>0.38461538461538458</v>
      </c>
      <c r="D25" s="5">
        <f t="shared" si="5"/>
        <v>7.6923076923076913E-2</v>
      </c>
      <c r="E25" s="5">
        <f t="shared" si="5"/>
        <v>0.30769230769230765</v>
      </c>
      <c r="F25" s="5">
        <f t="shared" si="5"/>
        <v>0.15384615384615383</v>
      </c>
    </row>
    <row r="27" spans="1:7" x14ac:dyDescent="0.2">
      <c r="A27" s="2" t="s">
        <v>15</v>
      </c>
    </row>
    <row r="28" spans="1:7" x14ac:dyDescent="0.2">
      <c r="A28" t="s">
        <v>10</v>
      </c>
      <c r="B28" s="5">
        <f>1-B24</f>
        <v>0.63636363636363646</v>
      </c>
      <c r="C28" s="5">
        <f t="shared" ref="C28:F29" si="6">1-C24</f>
        <v>0.81818181818181823</v>
      </c>
      <c r="D28" s="5">
        <f t="shared" si="6"/>
        <v>0.72727272727272729</v>
      </c>
      <c r="E28" s="5">
        <f t="shared" si="6"/>
        <v>0.90909090909090906</v>
      </c>
      <c r="F28" s="5">
        <f t="shared" si="6"/>
        <v>0.90909090909090906</v>
      </c>
    </row>
    <row r="29" spans="1:7" x14ac:dyDescent="0.2">
      <c r="A29" t="s">
        <v>11</v>
      </c>
      <c r="B29" s="5">
        <f>1-B25</f>
        <v>0.92307692307692313</v>
      </c>
      <c r="C29" s="5">
        <f t="shared" si="6"/>
        <v>0.61538461538461542</v>
      </c>
      <c r="D29" s="5">
        <f t="shared" si="6"/>
        <v>0.92307692307692313</v>
      </c>
      <c r="E29" s="5">
        <f t="shared" si="6"/>
        <v>0.69230769230769229</v>
      </c>
      <c r="F29" s="5">
        <f t="shared" si="6"/>
        <v>0.84615384615384615</v>
      </c>
    </row>
    <row r="32" spans="1:7" x14ac:dyDescent="0.2">
      <c r="B32" s="1" t="s">
        <v>0</v>
      </c>
      <c r="C32" s="1" t="s">
        <v>17</v>
      </c>
      <c r="D32" s="1" t="s">
        <v>18</v>
      </c>
      <c r="E32" s="1" t="s">
        <v>3</v>
      </c>
      <c r="F32" s="1" t="s">
        <v>19</v>
      </c>
      <c r="G32" s="6" t="s">
        <v>20</v>
      </c>
    </row>
    <row r="33" spans="1:8" x14ac:dyDescent="0.2">
      <c r="A33" t="s">
        <v>16</v>
      </c>
      <c r="B33" s="5">
        <f>+B24</f>
        <v>0.36363636363636359</v>
      </c>
      <c r="C33" s="5">
        <f>+C28</f>
        <v>0.81818181818181823</v>
      </c>
      <c r="D33" s="5">
        <f t="shared" ref="D33:F33" si="7">+D28</f>
        <v>0.72727272727272729</v>
      </c>
      <c r="E33" s="5">
        <f>+E24</f>
        <v>9.0909090909090898E-2</v>
      </c>
      <c r="F33" s="5">
        <f t="shared" si="7"/>
        <v>0.90909090909090906</v>
      </c>
      <c r="G33" s="5">
        <f>+PRODUCT(B33:F33)</f>
        <v>1.7882534104103665E-2</v>
      </c>
    </row>
    <row r="34" spans="1:8" x14ac:dyDescent="0.2">
      <c r="A34" t="s">
        <v>21</v>
      </c>
      <c r="B34" s="3">
        <f>+B14</f>
        <v>0.20833333333333334</v>
      </c>
      <c r="C34" s="3">
        <f>+C15</f>
        <v>0.70833333333333326</v>
      </c>
      <c r="D34" s="3">
        <f>+D15</f>
        <v>0.83333333333333337</v>
      </c>
      <c r="E34" s="3">
        <f>+E14</f>
        <v>0.20833333333333334</v>
      </c>
      <c r="F34" s="3">
        <f>+F15</f>
        <v>0.875</v>
      </c>
      <c r="G34" s="5">
        <f>+PRODUCT(B34:F34)</f>
        <v>2.241723331404321E-2</v>
      </c>
    </row>
    <row r="35" spans="1:8" x14ac:dyDescent="0.2">
      <c r="G35" s="5">
        <f>+G19</f>
        <v>0.45833333333333337</v>
      </c>
      <c r="H35" t="s">
        <v>22</v>
      </c>
    </row>
    <row r="36" spans="1:8" x14ac:dyDescent="0.2">
      <c r="F36" t="s">
        <v>23</v>
      </c>
      <c r="G36" s="5">
        <f>+G33*G35/G34</f>
        <v>0.36561877862271192</v>
      </c>
      <c r="H36" s="7">
        <f>+G36</f>
        <v>0.36561877862271192</v>
      </c>
    </row>
    <row r="39" spans="1:8" x14ac:dyDescent="0.2">
      <c r="A39" t="s">
        <v>24</v>
      </c>
      <c r="B39" s="5">
        <f>+B25</f>
        <v>7.6923076923076913E-2</v>
      </c>
      <c r="C39" s="5">
        <f>+C29</f>
        <v>0.61538461538461542</v>
      </c>
      <c r="D39" s="5">
        <f>+D29</f>
        <v>0.92307692307692313</v>
      </c>
      <c r="E39" s="5">
        <f>+E25</f>
        <v>0.30769230769230765</v>
      </c>
      <c r="F39" s="5">
        <f>+F29</f>
        <v>0.84615384615384615</v>
      </c>
      <c r="G39" s="5">
        <f>+PRODUCT(B39:F39)</f>
        <v>1.137646010024428E-2</v>
      </c>
    </row>
    <row r="40" spans="1:8" x14ac:dyDescent="0.2">
      <c r="A40" t="s">
        <v>21</v>
      </c>
      <c r="B40" s="3">
        <f>+B34</f>
        <v>0.20833333333333334</v>
      </c>
      <c r="C40" s="3">
        <f t="shared" ref="C40:F40" si="8">+C34</f>
        <v>0.70833333333333326</v>
      </c>
      <c r="D40" s="3">
        <f t="shared" si="8"/>
        <v>0.83333333333333337</v>
      </c>
      <c r="E40" s="3">
        <f t="shared" si="8"/>
        <v>0.20833333333333334</v>
      </c>
      <c r="F40" s="3">
        <f t="shared" si="8"/>
        <v>0.875</v>
      </c>
      <c r="G40" s="5">
        <f>+PRODUCT(B40:F40)</f>
        <v>2.241723331404321E-2</v>
      </c>
    </row>
    <row r="41" spans="1:8" x14ac:dyDescent="0.2">
      <c r="G41" s="5">
        <f>+G20</f>
        <v>0.54166666666666674</v>
      </c>
      <c r="H41" t="s">
        <v>25</v>
      </c>
    </row>
    <row r="42" spans="1:8" x14ac:dyDescent="0.2">
      <c r="F42" t="s">
        <v>23</v>
      </c>
      <c r="G42" s="5">
        <f>+G39*G41/G40</f>
        <v>0.27488892739967735</v>
      </c>
      <c r="H42" s="7">
        <f>+G42</f>
        <v>0.27488892739967735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Velasquez</dc:creator>
  <cp:lastModifiedBy>Juan David Velasquez</cp:lastModifiedBy>
  <dcterms:created xsi:type="dcterms:W3CDTF">2019-04-29T15:41:09Z</dcterms:created>
  <dcterms:modified xsi:type="dcterms:W3CDTF">2019-04-30T02:46:05Z</dcterms:modified>
</cp:coreProperties>
</file>