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Asignatura Pregrado" sheetId="1" r:id="rId4"/>
  </sheets>
  <externalReferences>
    <externalReference r:id="rId5"/>
  </externalReferences>
  <definedNames>
    <definedName name="dias">'Formato Asignatura Pregrado'!$T$32:$T$51</definedName>
    <definedName name="NS">'Formato Asignatura Pregrado'!$T$26</definedName>
    <definedName name="fac_bo">'Formato Asignatura Pregrado'!$T$2:$T$15</definedName>
    <definedName name="medicina">#REF!</definedName>
    <definedName name="arquitectura">#REF!</definedName>
    <definedName name="DIA">'Formato Asignatura Pregrado'!$T$32:$T$51</definedName>
    <definedName name="bogota">#REF!</definedName>
    <definedName name="fac_ma">'Formato Asignatura Pregrado'!$T$16:$T$18</definedName>
    <definedName name="programa">'Formato Asignatura Pregrado'!$P$3:$P$89</definedName>
    <definedName name="unid_ma">'Formato Asignatura Pregrado'!$Y$75:$Y$86</definedName>
    <definedName name="unid_me">'Formato Asignatura Pregrado'!$Y$88:$Y$89</definedName>
    <definedName name="cienciasagropecuariaspal">#REF!</definedName>
    <definedName name="manizales">#REF!</definedName>
    <definedName name="sede">#REF!</definedName>
    <definedName localSheetId="0" name="Z_4661FE06_EA67_45E7_A7C9_E76C84D0CD8A_.wvu.PrintTitles">'Formato Asignatura Pregrado'!$A$1:$IV$3</definedName>
    <definedName name="cienciashumanasyeconómicas">#REF!</definedName>
    <definedName name="mes">'Formato Asignatura Pregrado'!$U$32:$U$37</definedName>
    <definedName name="enfermería">#REF!</definedName>
    <definedName name="SEDES">'Formato Asignatura Pregrado'!$S$2:$S$13</definedName>
    <definedName name="ingenierìaarquitectura">#REF!</definedName>
    <definedName name="odontología">#REF!</definedName>
    <definedName name="componentes">'Formato Asignatura Pregrado'!$V$2:$V$3</definedName>
    <definedName name="ingenieríayadministración">#REF!</definedName>
    <definedName name="minas">#REF!</definedName>
    <definedName name="palmira">#REF!</definedName>
    <definedName name="abop">'Formato Asignatura Pregrado'!$W$2:$W$3</definedName>
    <definedName name="artes">#REF!</definedName>
    <definedName name="cienciaseconómicas">#REF!</definedName>
    <definedName name="fac_pa">'Formato Asignatura Pregrado'!$T$24:$T$25</definedName>
    <definedName name="ingenieríaagronómica">#REF!</definedName>
    <definedName name="cienciasmed">#REF!</definedName>
    <definedName name="veterinaria">#REF!</definedName>
    <definedName name="cienciasexactas">#REF!</definedName>
    <definedName name="Ingeniería_Agronómica">#REF!</definedName>
    <definedName name="cienciasagropecuarias">#REF!</definedName>
    <definedName name="req">'Formato Asignatura Pregrado'!$U$54:$U$55</definedName>
    <definedName name="unid_bo">'Formato Asignatura Pregrado'!$Y$1:$Y$74</definedName>
    <definedName name="ingeniería">#REF!</definedName>
    <definedName name="cienciashumanas">#REF!</definedName>
    <definedName name="administración">#REF!</definedName>
    <definedName name="año">'Formato Asignatura Pregrado'!$V$32</definedName>
    <definedName name="fac_me">'Formato Asignatura Pregrado'!$T$19:$T$23</definedName>
    <definedName name="ciencias">#REF!</definedName>
    <definedName name="derecho">#REF!</definedName>
    <definedName name="medelli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Vicerrectoría: 
Liste por separado cada una de las asignaturas prerrequisito  o correquisito</t>
      </text>
    </comment>
    <comment authorId="0" ref="A28">
      <text>
        <t xml:space="preserve">Vicerrectoría:
Porcentaje mínimo de horas que el estudiante está obligado a asistir a un curso durante el periodo académico.</t>
      </text>
    </comment>
    <comment authorId="0" ref="A24">
      <text>
        <t xml:space="preserve">Vicerrectoría: 
Horas de Actividad Presencial a la semana o intensidad horaria. Actividad presencial es la que se desarrolla dentro o fuera de las aulas en contacto y con dirección del profesor </t>
      </text>
    </comment>
    <comment authorId="0" ref="B24">
      <text>
        <t xml:space="preserve">Vicerrectoría: 
Horas de Actividad autónoma o Independiente a la semana. Actividad Independiente es la realizada autónomamente por el estudiante.</t>
      </text>
    </comment>
    <comment authorId="0" ref="C24">
      <text>
        <t xml:space="preserve">Vicerrectoría: 
Total de horas de actividad presencial e independiente que emplea el estudiante para cumplir con una asignatura a la semana. Es calculado por el sistema.</t>
      </text>
    </comment>
    <comment authorId="0" ref="G28">
      <text>
        <t xml:space="preserve">Vicerrectoría: 
El sistema calcula automáticamente el número de horas presenciales por período académico, a partir de la información del punto 2.</t>
      </text>
    </comment>
    <comment authorId="0" ref="D24">
      <text>
        <t xml:space="preserve">Vicerrectoría:
Número de semanas por periodo académico. En ningún caso el número de semanas podrá ser inferior a 16, ni superior a 25</t>
      </text>
    </comment>
    <comment authorId="0" ref="K31">
      <text>
        <t xml:space="preserve">Vicerrectoría: 
Prerrequisito es una condición previa  que el estudiante debe cumplir para inscribir la asignatura. 
Correquisito es un requerimiento simultáneo que se verifica para un mismo periodo académico.</t>
      </text>
    </comment>
    <comment authorId="0" ref="E24">
      <text>
        <t xml:space="preserve">Vicerrectoría: 
Total de Horas por Periodo académico. Este cálculo lo realiza automáticamente el sistema.</t>
      </text>
    </comment>
    <comment authorId="0" ref="F24">
      <text>
        <t xml:space="preserve">Vicerrectoría: Cada crédito requiere 48 horas de trabajo del estudiante. Un crédito académico es la unidad que mide el tiempo que el estudiante requiere para cumplir los objetivos de formación de cada asignatura. Incluye el tiempo de la actividad presencial y la independiente. </t>
      </text>
    </comment>
    <comment authorId="0" ref="L28">
      <text>
        <t xml:space="preserve">Vicerrectoría: 
El sistema calcula el número mínimo de horas presenciales que el estudiante debe cumplir. Si el estudiante asiste menos tiempo, su calificación será 0.0</t>
      </text>
    </comment>
    <comment authorId="0" ref="H22">
      <text>
        <t xml:space="preserve">Vicerrectoria:
Una asignatura es validable si puede ser evaluada mediante un examen o prueba de suficiencia sin necesidad de que el estudiante asista al curso regular.</t>
      </text>
    </comment>
    <comment authorId="0" ref="A46">
      <text>
        <t xml:space="preserve">Vicerrectoría: 
Sintetice los objetivos de formación, los contenidos fundamentales de la asignatura y los conocimientos previos requeridos a los estudiantes. Utilice máximo 150 palabras. Tenga en cuenta que esta es la información que va a aparecer en los certificados expedidos por la universidad.</t>
      </text>
    </comment>
    <comment authorId="0" ref="A42">
      <text>
        <t xml:space="preserve">Vicerrectoría:
El grupo de asignaturas electivas, exclusivo de los pregrados, comprende aquellas asignaturas que se ofrecen para cualquier estudiante de pregrado, y se inscriben con créditos del componente de libre elección. También comprende las asignaturas que conforman líneas de profundización, los contextos y las cátedras que se ofrecen para cualquier estudiante de la Universidad y se caracterizan por no tener prerrequisitos.</t>
      </text>
    </comment>
  </commentList>
</comments>
</file>

<file path=xl/sharedStrings.xml><?xml version="1.0" encoding="utf-8"?>
<sst xmlns="http://schemas.openxmlformats.org/spreadsheetml/2006/main" count="410" uniqueCount="316">
  <si>
    <t>Código SIA</t>
  </si>
  <si>
    <t>PROGRAMA CURRICULAR</t>
  </si>
  <si>
    <t>SEDE</t>
  </si>
  <si>
    <t>FACULTAD</t>
  </si>
  <si>
    <t>COMPONENTE</t>
  </si>
  <si>
    <t>OB OP</t>
  </si>
  <si>
    <t xml:space="preserve">AGRONOMÍA           </t>
  </si>
  <si>
    <t xml:space="preserve">DEPARTAMENTO DE AGRONOMIA                       </t>
  </si>
  <si>
    <t>VICERRECTORÍA ACADÉMICA</t>
  </si>
  <si>
    <t>Agronomía - Bogotá</t>
  </si>
  <si>
    <t>Bogotá</t>
  </si>
  <si>
    <t>Fundamentación</t>
  </si>
  <si>
    <t>Obligatoria</t>
  </si>
  <si>
    <t xml:space="preserve">ESCUELA DE POSGRADOS AGRONOMIA                       </t>
  </si>
  <si>
    <t>DIRECCIÓN NACIONAL DE PROGRAMAS DE PREGRADO</t>
  </si>
  <si>
    <t>Administración de Empresas -Bogotá</t>
  </si>
  <si>
    <t>Amazonia </t>
  </si>
  <si>
    <t>Artes - Bogotá</t>
  </si>
  <si>
    <t>Disciplinar</t>
  </si>
  <si>
    <t>Optativa</t>
  </si>
  <si>
    <t xml:space="preserve">ARTES </t>
  </si>
  <si>
    <t xml:space="preserve">CONSERVATORIO DE MUSICA </t>
  </si>
  <si>
    <t xml:space="preserve">FORMATO DE PROGRAMA - ASIGNATURA DE PREGRADO                                                                        </t>
  </si>
  <si>
    <t>Antropología -Bogotá</t>
  </si>
  <si>
    <t>Bogotá </t>
  </si>
  <si>
    <t>Ciencias - Bogotá</t>
  </si>
  <si>
    <t xml:space="preserve">ESCUELA DE ARQUITECTURA Y URBANISMO             </t>
  </si>
  <si>
    <t>Arquitectura -Bogotá</t>
  </si>
  <si>
    <t>Caribe </t>
  </si>
  <si>
    <t>Ciencias económicas - Bogotá</t>
  </si>
  <si>
    <t xml:space="preserve">ESCUELA DE ARTES PLASTICAS Y VISUALES                   </t>
  </si>
  <si>
    <t xml:space="preserve">Estimado profesor: tenga presente que este formato aprobado por el Consejo de Facultad constituye el programa-asignatura y es un documento oficial de la Universidad. La información que introduzca se publicará en el portal UNAL-SIA para información de los estudiantes y la comunidad académica en general. Le recomendamos atentamente diligenciar el formato con el mayor esmero posible.Para su diligenciamiento encontrará orientaciones en las casillas que muestran un triángulo rojo en su esquina superior derecha. </t>
  </si>
  <si>
    <t>Artes Plásticas -Bogotá</t>
  </si>
  <si>
    <t>Manizales </t>
  </si>
  <si>
    <t>Ciencias humanas - Bogotá</t>
  </si>
  <si>
    <t xml:space="preserve">ESCUELA DE CINE Y TELEVISION </t>
  </si>
  <si>
    <t>Por favor diligencie únicamente las celdas en azul claro.  Escriba el nombre completo de la asignatura usando mayúscula solamente al inicio.  No lo escriba todo en mayúsculas.</t>
  </si>
  <si>
    <t>Día</t>
  </si>
  <si>
    <t>Mes</t>
  </si>
  <si>
    <t>Año</t>
  </si>
  <si>
    <t>Biología  -Bogotá</t>
  </si>
  <si>
    <t>Medellín </t>
  </si>
  <si>
    <t>Derecho, ciencias políticas y sociales - Bogotá</t>
  </si>
  <si>
    <t xml:space="preserve">ESCUELA DE DISENO GRAFICO </t>
  </si>
  <si>
    <t>FECHA DE DILIGENCIAMIENTO:</t>
  </si>
  <si>
    <t>Ciencia Política -Bogotá</t>
  </si>
  <si>
    <t>Orinoquia </t>
  </si>
  <si>
    <t>Enfermería - Bogotá</t>
  </si>
  <si>
    <t xml:space="preserve">ESCUELA DE DISENO INDUSTRIAL                 </t>
  </si>
  <si>
    <t xml:space="preserve">PARA CREACIÓN DE UNA ASIGNATURA   </t>
  </si>
  <si>
    <t>Contaduría Pública -Bogotá</t>
  </si>
  <si>
    <t>Medicina - Bogotá</t>
  </si>
  <si>
    <t>INSTITUTO DE ESTUDIOS URBANOS</t>
  </si>
  <si>
    <t xml:space="preserve">1. IDENTIFICACIÓN DE LA ASIGNATURA </t>
  </si>
  <si>
    <t>Diseño Gráfico  -Bogotá</t>
  </si>
  <si>
    <t>Odontologia - Bogotá</t>
  </si>
  <si>
    <t xml:space="preserve">CIENCIAS </t>
  </si>
  <si>
    <t xml:space="preserve">DEPARTAMENTO DE BIOLOGIA                     </t>
  </si>
  <si>
    <t>1.1. CÓDIGO DE LA ASIGNATURA</t>
  </si>
  <si>
    <t>Diseño Industrial  -Bogotá</t>
  </si>
  <si>
    <t>Administración - Manizales</t>
  </si>
  <si>
    <t>Manizales</t>
  </si>
  <si>
    <t xml:space="preserve">DEPARTAMENTO DE ESTADISTICA            </t>
  </si>
  <si>
    <t>1.2. NOMBRE DE LA ASIGNATURA</t>
  </si>
  <si>
    <t>IA para todos</t>
  </si>
  <si>
    <t>Economía -Bogotá</t>
  </si>
  <si>
    <t>Ciencias exactas y naturales - Manizales</t>
  </si>
  <si>
    <t xml:space="preserve">DEPARTAMENTO DE FARMACIA </t>
  </si>
  <si>
    <t>1.3. SEDE</t>
  </si>
  <si>
    <t>Medellín</t>
  </si>
  <si>
    <t>Enfermería -Bogotá</t>
  </si>
  <si>
    <t>Ingeniería y arquitectura - Manizales</t>
  </si>
  <si>
    <t xml:space="preserve">DEPARTAMENTO DE FISICA                                  </t>
  </si>
  <si>
    <t>1.4. FACULTAD</t>
  </si>
  <si>
    <t>Minas</t>
  </si>
  <si>
    <t>Español y Filología Clásica -Bogotá</t>
  </si>
  <si>
    <t>Arquitectura - Medellín</t>
  </si>
  <si>
    <t xml:space="preserve">DEPARTAMENTO DE GEOCIENCIAS                     </t>
  </si>
  <si>
    <t>1.5. UNIDAD QUE OFRECE LA ASIGNATURA</t>
  </si>
  <si>
    <t>Departamento de Ciencias de la Computación y la Decisión</t>
  </si>
  <si>
    <t>Estadística -Bogotá</t>
  </si>
  <si>
    <t>Cencias - Medellín</t>
  </si>
  <si>
    <t xml:space="preserve">DEPARTAMENTO DE MATEMATICAS                           </t>
  </si>
  <si>
    <t>Estudios Literarios -Bogotá</t>
  </si>
  <si>
    <t>Ciencias agropecuarias - Medellín</t>
  </si>
  <si>
    <t xml:space="preserve">DEPARTAMENTO DE QUIMICA                  </t>
  </si>
  <si>
    <r>
      <rPr>
        <rFont val="Calibri"/>
        <b/>
        <sz val="11.0"/>
      </rPr>
      <t>2</t>
    </r>
    <r>
      <rPr>
        <rFont val="Calibri"/>
        <sz val="11.0"/>
      </rPr>
      <t xml:space="preserve">. </t>
    </r>
    <r>
      <rPr>
        <rFont val="Calibri"/>
        <b/>
        <sz val="11.0"/>
      </rPr>
      <t xml:space="preserve">DURACIÓN </t>
    </r>
  </si>
  <si>
    <t>3. VALIDABLE</t>
  </si>
  <si>
    <t>Farmacia -Bogotá</t>
  </si>
  <si>
    <t>Ciencias humanas y económicas - Medellín</t>
  </si>
  <si>
    <t xml:space="preserve">INSTITUTO DE BIOTECNOLOGIA                        </t>
  </si>
  <si>
    <t>A LA SEMANA</t>
  </si>
  <si>
    <t xml:space="preserve">AL SEMESTRE </t>
  </si>
  <si>
    <t>CRÉDITOS</t>
  </si>
  <si>
    <t>Asignatura validable</t>
  </si>
  <si>
    <t>Filología e Idiomas - Alemán -Bogotá</t>
  </si>
  <si>
    <t>Minas - Medellín</t>
  </si>
  <si>
    <t>INSTITUTO DE CIENCIA Y TECNOLOGIA DE ALIMENTOS</t>
  </si>
  <si>
    <t>HAP</t>
  </si>
  <si>
    <t>HAI</t>
  </si>
  <si>
    <t>THS= HAP +HAI</t>
  </si>
  <si>
    <t>No.  de semanas</t>
  </si>
  <si>
    <t>THP= THSxSemanas</t>
  </si>
  <si>
    <t>No. de Créditos</t>
  </si>
  <si>
    <t>Filología e Idiomas - Francés -Bogotá</t>
  </si>
  <si>
    <t>Ciencias agropecuarias - Palmira</t>
  </si>
  <si>
    <t>Palmira</t>
  </si>
  <si>
    <t xml:space="preserve">INSTITUTO DE CIENCIAS NATURALES                                  </t>
  </si>
  <si>
    <t>Asignatura NO validable</t>
  </si>
  <si>
    <t>Filología e Idiomas - Inglés -Bogotá</t>
  </si>
  <si>
    <t>Ingeniería y administración - Palmira</t>
  </si>
  <si>
    <t xml:space="preserve">OBSERVATORIO ASTRONOMICO                      </t>
  </si>
  <si>
    <t>Filología e Idiomas - Humanid Clásicas - Español -Bogotá</t>
  </si>
  <si>
    <t xml:space="preserve">CIENCIAS ECONÓMICAS </t>
  </si>
  <si>
    <t>ESCUELA DE ADMINISTRACION Y CONTADURIA PUBLICA</t>
  </si>
  <si>
    <t xml:space="preserve">4. PORCENTAJE DE ASISTENCIA  </t>
  </si>
  <si>
    <t>Filosofía -Bogotá</t>
  </si>
  <si>
    <t xml:space="preserve">ESCUELA DE ECONOMIA                       </t>
  </si>
  <si>
    <t>%</t>
  </si>
  <si>
    <t>Total de horas presenciales al semestre= HAP x Semanas</t>
  </si>
  <si>
    <t>Mínimo de horas presenciales</t>
  </si>
  <si>
    <t>Física -Bogotá</t>
  </si>
  <si>
    <t xml:space="preserve">INSTITUTO DE ESTUDIOS AMBIENTALES                     </t>
  </si>
  <si>
    <t>Fisioterapia -Bogotá</t>
  </si>
  <si>
    <t xml:space="preserve">CIENCIAS HUMANAS </t>
  </si>
  <si>
    <t xml:space="preserve">CENTRO DE ESTUDIOS SOCIALES </t>
  </si>
  <si>
    <r>
      <rPr>
        <rFont val="Calibri"/>
        <b/>
        <sz val="11.0"/>
      </rPr>
      <t xml:space="preserve">5. REQUISITOS DE LA ASIGNATURA   </t>
    </r>
    <r>
      <rPr>
        <rFont val="Calibri"/>
        <b/>
        <color rgb="FF0000FF"/>
        <sz val="11.0"/>
      </rPr>
      <t xml:space="preserve"> </t>
    </r>
  </si>
  <si>
    <t>Fonoaudiología -Bogotá</t>
  </si>
  <si>
    <t xml:space="preserve">DEPARTAMENTO DE ANTROPOLOGIA              </t>
  </si>
  <si>
    <t>CÓDIGO</t>
  </si>
  <si>
    <t>NOMBRE DE LA ASIGNATURA</t>
  </si>
  <si>
    <t>TIPO DE REQUISITO</t>
  </si>
  <si>
    <t>Geografía -Bogotá</t>
  </si>
  <si>
    <t>DIA</t>
  </si>
  <si>
    <t>MES</t>
  </si>
  <si>
    <t>AÑO</t>
  </si>
  <si>
    <t xml:space="preserve">DEPARTAMENTO DE FILOSOFIA </t>
  </si>
  <si>
    <t>Geología -Bogotá</t>
  </si>
  <si>
    <t>enero</t>
  </si>
  <si>
    <t xml:space="preserve">DEPARTAMENTO DE GEOGRAFIA       </t>
  </si>
  <si>
    <t>Ingeniería de Sistemas  -Bogotá</t>
  </si>
  <si>
    <t>junio</t>
  </si>
  <si>
    <t xml:space="preserve">DEPARTAMENTO DE SICOLOGIA </t>
  </si>
  <si>
    <t>Ingeniería Eléctrica  -Bogotá</t>
  </si>
  <si>
    <t>julio</t>
  </si>
  <si>
    <t xml:space="preserve">DEPARTAMENTO DE SOCIOLOGIA </t>
  </si>
  <si>
    <t>6. PLANES DE ESTUDIO A LOS QUE SE ASOCIA LA ASIGNATURA (Si la asignatura es de LIBRE ELECCIÓN pase al punto 7)</t>
  </si>
  <si>
    <t>Ingenieria Electrónica  -Bogotá</t>
  </si>
  <si>
    <t>agosto</t>
  </si>
  <si>
    <t xml:space="preserve">DEPARTAMENTO DE TRABAJO SOCIAL </t>
  </si>
  <si>
    <t xml:space="preserve">CÓDIGO </t>
  </si>
  <si>
    <t>NOMBRE DEL PLAN DE ESTUDIOS</t>
  </si>
  <si>
    <t>AGRUPACIÓN</t>
  </si>
  <si>
    <t>OBLIGATORIA / OPTATIVA</t>
  </si>
  <si>
    <t>Ingeniería Industrial  -Bogotá</t>
  </si>
  <si>
    <t>septiembre</t>
  </si>
  <si>
    <t xml:space="preserve">ESCUELA DE ESTUDIOS DE GENERO        </t>
  </si>
  <si>
    <t>Ingeniería Mecatrónica  -Bogotá</t>
  </si>
  <si>
    <t>noviembre</t>
  </si>
  <si>
    <t xml:space="preserve">INSTITUTO DE ESTUDIOS EN COMUNICACIONES                </t>
  </si>
  <si>
    <t>Música Instrumental -Bogotá</t>
  </si>
  <si>
    <t xml:space="preserve">INSTITUTO DE ESTUDIOS POLITICOS Y RELACIONES INTERNACIONALES        </t>
  </si>
  <si>
    <t>Nutrición y Dietética -Bogotá</t>
  </si>
  <si>
    <t xml:space="preserve">ENFERMERÍA </t>
  </si>
  <si>
    <t xml:space="preserve">DEPARTAMENTO DE CUIDADO Y PRACTICA DE ENFERMERIA </t>
  </si>
  <si>
    <t>Odontología -Bogotá</t>
  </si>
  <si>
    <t xml:space="preserve">DEPARTAMENTO DE SALUD DE COLECTIVOS </t>
  </si>
  <si>
    <t>Psicología -Bogotá</t>
  </si>
  <si>
    <t xml:space="preserve">INGENIERÍA </t>
  </si>
  <si>
    <t xml:space="preserve">DEPARTAMENTO DE INGENIERIA CIVIL Y AGRICOLA </t>
  </si>
  <si>
    <t xml:space="preserve">7. ASIGNATURA DE LIBRE ELECCIÓN </t>
  </si>
  <si>
    <t xml:space="preserve"> Si</t>
  </si>
  <si>
    <t xml:space="preserve"> No</t>
  </si>
  <si>
    <t>Química  -Bogotá</t>
  </si>
  <si>
    <t>DEPARTAMENTO DE INGENIERIA DE SISTEMAS E INDUSTRIAL</t>
  </si>
  <si>
    <t>Sociología -Bogotá</t>
  </si>
  <si>
    <t>DEPARTAMENTO DE INGENIERIA ELECTRICA Y ELECTRONICA</t>
  </si>
  <si>
    <t>PROGRAMA DE LA ASIGNATURA</t>
  </si>
  <si>
    <t>Terapia Ocupacional -Bogotá</t>
  </si>
  <si>
    <t xml:space="preserve">DEPARTAMENTO DE INGENIERIA MECANICA Y MECATRONICA </t>
  </si>
  <si>
    <t>Trabajo Social  -Bogotá</t>
  </si>
  <si>
    <t xml:space="preserve">DEPARTAMENTO DE INGENIERIA QUIMICA                             </t>
  </si>
  <si>
    <t>8. DESCRIPCIÓN DE LA ASIGNATURA</t>
  </si>
  <si>
    <t>Zootecnia  -Bogotá</t>
  </si>
  <si>
    <t>MEDICINA</t>
  </si>
  <si>
    <t>CENTRO DE TELEMEDICINA</t>
  </si>
  <si>
    <t>Este curso busca desmitificar la Inteligencia Artificial (IA) mediante el análisis de sus alcances, limitaciones, retos y oportunidades en el ámbito académico, profesional y cotidiano. A través de un enfoque práctico y reflexivo, los estudiantes adquirirán herramientas clave para evaluar críticamente los sesgos algorítmicos, los riesgos éticos, el impacto en el mercado laboral y la veracidad de los contenidos generados por IA. La metodología combina debates dinámicos, lecturas de actualidad, talleres prácticos sin código (zero-code) y la participación de expertos invitados de diversas disciplinas.</t>
  </si>
  <si>
    <t>Administración de Empresas (Diurno) -Manizales</t>
  </si>
  <si>
    <t xml:space="preserve">DEPARTAMENTO DE CIENCIAS FISIOLOGICAS </t>
  </si>
  <si>
    <t>Administración de Empresas (Nocturno) -Manizales</t>
  </si>
  <si>
    <t xml:space="preserve">DEPARTAMENTO DE CIRUGIA </t>
  </si>
  <si>
    <t>Admón de Sistemas Informáticos -Manizales</t>
  </si>
  <si>
    <t xml:space="preserve">DEPARTAMENTO DE COMUNICACION HUMANA Y SUS DESORDENES </t>
  </si>
  <si>
    <t>Arquitectura  -Manizales</t>
  </si>
  <si>
    <t xml:space="preserve">DEPARTAMENTO DE IMAGENES DIAGNOSTICAS </t>
  </si>
  <si>
    <t>Construcción -Manizales</t>
  </si>
  <si>
    <t xml:space="preserve">DEPARTAMENTO DE LA OCUPACION HUMANA Y SUS DESORDENES </t>
  </si>
  <si>
    <t>Gestión cultural y comunicativa -Manizales</t>
  </si>
  <si>
    <t xml:space="preserve">DEPARTAMENTO DE MEDICINA                                 </t>
  </si>
  <si>
    <t>Ingeniería Civil -Manizales</t>
  </si>
  <si>
    <t xml:space="preserve">DEPARTAMENTO DE MEDICINA FISICA Y REHABILITACION        </t>
  </si>
  <si>
    <t>Ingeniería Eléctrica  -Manizales</t>
  </si>
  <si>
    <t>Prerrequisito</t>
  </si>
  <si>
    <t xml:space="preserve">DEPARTAMENTO DE MEDICINA INTERNA                                           </t>
  </si>
  <si>
    <t>9. CONTENIDO</t>
  </si>
  <si>
    <t>Ingeniería Electrónica -Manizales</t>
  </si>
  <si>
    <t>Correquisito</t>
  </si>
  <si>
    <t xml:space="preserve">DEPARTAMENTO DE MICROBIOLOGIA                 </t>
  </si>
  <si>
    <t>9.1. CONTENIDO BÁSICO</t>
  </si>
  <si>
    <t>9.2. CONTENIDO DETALLADO</t>
  </si>
  <si>
    <t>Ingeniería Física -Manizales</t>
  </si>
  <si>
    <t xml:space="preserve">DEPARTAMENTO DE MORFOLOGIA                            </t>
  </si>
  <si>
    <t>Índice a partir del cual se muestra, a través de los ítems principales, el contenido de la asignatura.</t>
  </si>
  <si>
    <t>Descripción del contenido de la asignatura especificando cada uno de los ítems del contenido básico.</t>
  </si>
  <si>
    <t>Ingeniería Industrial -Manizales</t>
  </si>
  <si>
    <t xml:space="preserve">DEPARTAMENTO DE MOVIMIENTO CORPORAL HUMANO Y SUS DESORDENES </t>
  </si>
  <si>
    <t>Fundamentos y Evolución de la IA</t>
  </si>
  <si>
    <t>¿Qué es (y qué no es) la Inteligencia Artificial? Definiciones operativas; Breve historia de la IA: de los sistemas expertos a los modelos generativos. Recorrido desde los sistemas expertos (1950s-1980s) hasta el aprendizaje profundo y los modelos de lenguaje (2010s-hoy); hitos y "inviernos de la IA".</t>
  </si>
  <si>
    <t>Ingeniería Química -Manizales</t>
  </si>
  <si>
    <t xml:space="preserve">DEPARTAMENTO DE NUTRICION </t>
  </si>
  <si>
    <t>Matemáticas -Manizales</t>
  </si>
  <si>
    <t>DEPARTAMENTO DE OBSTETRICIA Y GINECOLOGIA</t>
  </si>
  <si>
    <t>Artes Plásticas -Medellín</t>
  </si>
  <si>
    <t xml:space="preserve">DEPARTAMENTO DE PEDIATRIA </t>
  </si>
  <si>
    <t>Ciencia Política -Medellín</t>
  </si>
  <si>
    <t xml:space="preserve">DEPARTAMENTO DE PSIQUIATRIA </t>
  </si>
  <si>
    <t>Ficción vs. Realidad</t>
  </si>
  <si>
    <t>Contraste entre imaginarios de ciencia ficción (HAL 9000, Terminator, Ultron) y la taxonomía real de herramientas actuales (texto, imagen, audio, video, agentes).</t>
  </si>
  <si>
    <t>Construcción -Medellín</t>
  </si>
  <si>
    <t xml:space="preserve">DEPARTAMENTO DE SALUD PUBLICA                               </t>
  </si>
  <si>
    <t>Economía -Medellín</t>
  </si>
  <si>
    <t>DEPARTAMENTO DE TOXICOLOGIA</t>
  </si>
  <si>
    <t>Estadística -Medellín</t>
  </si>
  <si>
    <t xml:space="preserve">ESCUELA DE EDUCACION MEDICA                             </t>
  </si>
  <si>
    <t>Historia -Medellín</t>
  </si>
  <si>
    <t xml:space="preserve">INSTITUTO DE INVESTIGACIONES BIOMEDICAS        </t>
  </si>
  <si>
    <t>Ingeniería Administrativa -Medellín</t>
  </si>
  <si>
    <t xml:space="preserve">INSTITUTO DE INVESTIGACIONES CLINICAS               </t>
  </si>
  <si>
    <t xml:space="preserve"> ¿Cómo piensa una máquina?</t>
  </si>
  <si>
    <t>Conceptos clave sin matemáticas: datos de entrenamiento, modelos, inferencia, redes neuronales.</t>
  </si>
  <si>
    <t>Ingeniería Agrícola  -Medellín</t>
  </si>
  <si>
    <t xml:space="preserve">INSTITUTO DE SALUD PUBLICA                             </t>
  </si>
  <si>
    <t>Ingeniería Agronómica -Medellín</t>
  </si>
  <si>
    <t xml:space="preserve">MEDICINA VETERINARIA Y ZOOTECNIA </t>
  </si>
  <si>
    <t xml:space="preserve">DEPARTAMENTO DE CIENCIAS PARA LA PRODUCCION ANIMAL </t>
  </si>
  <si>
    <t>Ingeniería Ambiental ** (APERTURA) -Medellín</t>
  </si>
  <si>
    <t xml:space="preserve">DEPARTAMENTO DE CIENCIAS PARA LA SALUD ANIMAL </t>
  </si>
  <si>
    <t>Ingeniería Civil -Medellín</t>
  </si>
  <si>
    <t xml:space="preserve">DEPARTAMENTO DE SALUD ORAL </t>
  </si>
  <si>
    <t>Alucinaciones y Desinformación</t>
  </si>
  <si>
    <t xml:space="preserve">Alucinaciones algorítmicas: por qué un modelo puede generar información falsa con total "confianza. Desinformación generada por IA: deepfakes, texto sintético, campañas de manipulación. </t>
  </si>
  <si>
    <t>Ingeniería de Control -Medellín</t>
  </si>
  <si>
    <t>DEPARTAMENTO DE CIENCIAS BASICAS Y MEDICINA ORAL</t>
  </si>
  <si>
    <t>Ingeniería de Minas y Metalurgia -Medellín</t>
  </si>
  <si>
    <t>FACULTAD DE ADMINISTRACIÓN</t>
  </si>
  <si>
    <t>DEPARTAMENTO DE ADMINISTRACION</t>
  </si>
  <si>
    <t>Ingeniería de Petróleos -Medellín</t>
  </si>
  <si>
    <t>DEPARTAMENTO DE CIENCIAS HUMANAS</t>
  </si>
  <si>
    <t>Ingeniería Eléctrica -Medellín</t>
  </si>
  <si>
    <t>FACULTAD DE CIENCIAS EXACTAS Y NATURALES</t>
  </si>
  <si>
    <t>DEPARTAMENTO DE FISICA Y QUIMICA</t>
  </si>
  <si>
    <t>Sesgos y discriminación algorítmica</t>
  </si>
  <si>
    <t>Sesgos en los datos de entrenamiento: casos documentados de discriminación algorítmica (contratación, crédito, reconocimiento facial, justicia predictiva).</t>
  </si>
  <si>
    <t>Ingeniería Física -Medellín</t>
  </si>
  <si>
    <t>DEPARTAMENTO DE MATEMATICAS Y ESTADISTICA</t>
  </si>
  <si>
    <t>Ingeniería Forestal -Medellín</t>
  </si>
  <si>
    <t>FACULTAD DE INGENIERÍA</t>
  </si>
  <si>
    <t>DEPARTAMENTO DE INGENERIA ELECTRICA, ELECTRONICA Y COMPUTACION</t>
  </si>
  <si>
    <t>Ingeniería Geológica -Medellín</t>
  </si>
  <si>
    <t>DEPARTAMENTO DE INGENIERIA CIVIL</t>
  </si>
  <si>
    <t>Ingeniería Industrial -Medellín</t>
  </si>
  <si>
    <t>DEPARTAMENTO DE INGENIERIA INDUSTRIAL</t>
  </si>
  <si>
    <t>Ingeniería Mecánica  -Medellín</t>
  </si>
  <si>
    <t>DEPARTAMENTO DE INGENIERIA QUIMICA</t>
  </si>
  <si>
    <t>Marcos éticos y metodologías de verificación de contenido</t>
  </si>
  <si>
    <t>Principios de transparencia, explicabilidad, equidad, privacidad y consentimiento; triangulación de fuentes y lectura lateral.</t>
  </si>
  <si>
    <t>Ingeniería Química -Medellín</t>
  </si>
  <si>
    <t>ESCUELA DE ARQUITECTURA Y URBANISMO</t>
  </si>
  <si>
    <t>Matemáticas -Medellín</t>
  </si>
  <si>
    <t>FACULTAD DE ARQUITECTURA</t>
  </si>
  <si>
    <t>ESCUELA DE ARQUITECTURA</t>
  </si>
  <si>
    <t>Tecnología Forestal -Medellín</t>
  </si>
  <si>
    <t>ESCUELA DE PLANEACION URBANO - REGIONAL</t>
  </si>
  <si>
    <t>Automatización cognitiva: qué cambia con la IA generativa</t>
  </si>
  <si>
    <t>Automatización histórica vs. automatización cognitiva; marco de análisis de tareas vs. empleos completos. Pregunta guía: ¿Qué tareas de tu profesión son automatizables hoy y cuáles no?</t>
  </si>
  <si>
    <t>Casos sectoriales: IA en distintas profesiones</t>
  </si>
  <si>
    <t>Estudios de caso en salud, educación, derecho, diseño, manufactura, servicios y comunicación.</t>
  </si>
  <si>
    <t>Democratización tecnológica y diseño centrado en la comunidad</t>
  </si>
  <si>
    <t>Qué significa que herramientas antes exclusivas de programadores estén al alcance de cualquiera; identificación de problemas locales susceptibles de intervención.</t>
  </si>
  <si>
    <t>Transferencia de conocimiento, sostenibilidad y límites éticos de la IA</t>
  </si>
  <si>
    <t>Cómo enseñar a otros a usar estas herramientas de forma crítica y segura; qué problemas NO debe resolver la IA; accesibilidad (conectividad, alfabetización digital, idioma).</t>
  </si>
  <si>
    <t>10. BIBLIOGRAFÍA BÁSICA</t>
  </si>
  <si>
    <t>AUTOR (ES)</t>
  </si>
  <si>
    <t>TÍTULO</t>
  </si>
  <si>
    <t>EDITORIAL - PAÍS</t>
  </si>
  <si>
    <t>Mitchel, M.</t>
  </si>
  <si>
    <t xml:space="preserve">Inteligencia artificial: Guía para seres pensantes. </t>
  </si>
  <si>
    <t>Capitán Swing Libros</t>
  </si>
  <si>
    <t>Crawford, K.</t>
  </si>
  <si>
    <t xml:space="preserve"> Atlas de IA: Poder, política y costes planetarios de la inteligencia artificial</t>
  </si>
  <si>
    <t>Ned ediciones.</t>
  </si>
  <si>
    <t>Noble, S. U.</t>
  </si>
  <si>
    <t>Algorithms of oppression: How search engines reinforce racism. In Algorithms of oppression.</t>
  </si>
  <si>
    <t>New York university press.</t>
  </si>
  <si>
    <t>Brynjolfsson, E., &amp; McAfee, A.</t>
  </si>
  <si>
    <t>La segunda era de las máquinas: trabajo, progreso y prosperidad en una época de brillantes tecnologías.</t>
  </si>
  <si>
    <t xml:space="preserve">	WW Norton &amp; Company</t>
  </si>
  <si>
    <t xml:space="preserve">Mollick, E. </t>
  </si>
  <si>
    <t xml:space="preserve"> Co-intelligence: Living and working with AI.</t>
  </si>
  <si>
    <t>Penguin.</t>
  </si>
  <si>
    <t>11. NOMBRE DEL DIRECTOR DE ÁREA CURRICULAR</t>
  </si>
  <si>
    <t>12. APROBACIÓN DEL CONSEJO DE FACULTAD</t>
  </si>
  <si>
    <t>Fecha del Consejo (dia/mes/año)</t>
  </si>
  <si>
    <t>Acta Número</t>
  </si>
  <si>
    <t>Nota: cuando termine de diligenciar este formato, por favor grábelo con el nombre de la asignatura que propone (o modifica) seguido del nombre de la Unidad Académica que ofrece la asignatura.
Si tiene algún problema al diligenciar el formato, comuníquese con la Dirección Académica de su Sede.</t>
  </si>
  <si>
    <t xml:space="preserve">La Secretaría Académica debe remitir este formato completamente diligenciado a la Dirección Académica de la Sede respectiva vía correo electrónico para que se incluya en el sistema de información.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</si>
</sst>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0.0"/>
      <name val="Arial"/>
    </font>
    <font>
      <sz val="9.0"/>
      <name val="Arial"/>
    </font>
    <font>
      <sz val="9.0"/>
      <name val="Bookman Old Style"/>
    </font>
    <font>
      <b/>
      <sz val="9.0"/>
      <color rgb="FF7F7F7F"/>
      <name val="Calibri"/>
    </font>
    <font/>
    <font>
      <b/>
      <sz val="8.0"/>
      <name val="Arial"/>
    </font>
    <font>
      <b/>
      <sz val="14.0"/>
      <name val="Arial"/>
    </font>
    <font>
      <i/>
      <sz val="10.0"/>
      <name val="Calibri"/>
    </font>
    <font>
      <b/>
      <i/>
      <sz val="11.0"/>
      <color rgb="FF0000FF"/>
      <name val="Calibri"/>
    </font>
    <font>
      <sz val="10.0"/>
      <name val="Calibri"/>
    </font>
    <font>
      <b/>
      <sz val="10.0"/>
      <name val="Calibri"/>
    </font>
    <font>
      <b/>
      <sz val="11.0"/>
      <name val="Calibri"/>
    </font>
    <font>
      <i/>
      <sz val="11.0"/>
      <name val="Calibri"/>
    </font>
    <font>
      <sz val="11.0"/>
      <name val="Calibri"/>
    </font>
    <font>
      <sz val="16.0"/>
      <name val="Calibri"/>
    </font>
    <font>
      <b/>
      <sz val="9.0"/>
      <name val="Bookman Old Style"/>
    </font>
    <font>
      <sz val="10.0"/>
      <color rgb="FF0000FF"/>
      <name val="Calibri"/>
    </font>
    <font>
      <b/>
      <sz val="16.0"/>
      <name val="Calibri"/>
    </font>
    <font>
      <b/>
      <sz val="12.0"/>
      <name val="Calibri"/>
    </font>
    <font>
      <sz val="9.0"/>
      <name val="Century Gothic"/>
    </font>
    <font>
      <b/>
      <sz val="10.0"/>
      <color rgb="FF0000FF"/>
      <name val="Calibri"/>
    </font>
    <font>
      <b/>
      <i/>
      <sz val="10.0"/>
      <color rgb="FF0000FF"/>
      <name val="Calibri"/>
    </font>
  </fonts>
  <fills count="4">
    <fill>
      <patternFill patternType="none"/>
    </fill>
    <fill>
      <patternFill patternType="lightGray"/>
    </fill>
    <fill>
      <patternFill patternType="solid">
        <fgColor rgb="FFD8D8D8"/>
        <bgColor rgb="FFD8D8D8"/>
      </patternFill>
    </fill>
    <fill>
      <patternFill patternType="solid">
        <fgColor rgb="FFF2F2F2"/>
        <bgColor rgb="FFF2F2F2"/>
      </patternFill>
    </fill>
  </fills>
  <borders count="92">
    <border/>
    <border>
      <left style="medium">
        <color rgb="FF000000"/>
      </left>
      <right style="thin">
        <color rgb="FF000000"/>
      </right>
      <top style="medium">
        <color rgb="FF000000"/>
      </top>
    </border>
    <border>
      <left style="thin">
        <color rgb="FF000000"/>
      </left>
      <right style="thin">
        <color rgb="FF000000"/>
      </right>
      <top style="medium">
        <color rgb="FF000000"/>
      </top>
    </border>
    <border>
      <right style="medium">
        <color rgb="FF000000"/>
      </right>
      <top style="medium">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bottom style="double">
        <color rgb="FF000000"/>
      </bottom>
    </border>
    <border>
      <left style="thin">
        <color rgb="FF000000"/>
      </left>
      <right style="thin">
        <color rgb="FF000000"/>
      </right>
      <bottom style="double">
        <color rgb="FF000000"/>
      </bottom>
    </border>
    <border>
      <right style="medium">
        <color rgb="FF000000"/>
      </right>
      <bottom style="double">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border>
    <border>
      <top/>
    </border>
    <border>
      <right/>
      <top/>
    </border>
    <border>
      <left/>
      <bottom/>
    </border>
    <border>
      <bottom/>
    </border>
    <border>
      <right/>
      <bottom/>
    </border>
    <border>
      <left/>
      <right/>
      <top/>
      <bottom/>
    </border>
    <border>
      <bottom style="medium">
        <color rgb="FF000000"/>
      </bottom>
    </border>
    <border>
      <right style="medium">
        <color rgb="FF000000"/>
      </right>
    </border>
    <border>
      <left style="thin">
        <color rgb="FF000000"/>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top style="medium">
        <color rgb="FF000000"/>
      </top>
    </border>
    <border>
      <left/>
      <right style="medium">
        <color rgb="FF000000"/>
      </right>
      <top/>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medium">
        <color rgb="FF000000"/>
      </right>
      <top style="medium">
        <color rgb="FF000000"/>
      </top>
    </border>
    <border>
      <left style="medium">
        <color rgb="FF000000"/>
      </left>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bottom style="medium">
        <color rgb="FF000000"/>
      </bottom>
    </border>
    <border>
      <left style="thin">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medium">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rder>
    <border>
      <right style="thin">
        <color rgb="FF000000"/>
      </right>
    </border>
    <border>
      <left style="thin">
        <color rgb="FF000000"/>
      </left>
    </border>
    <border>
      <left style="medium">
        <color rgb="FF000000"/>
      </left>
      <right style="thin">
        <color rgb="FF000000"/>
      </right>
    </border>
    <border>
      <left style="thin">
        <color rgb="FF000000"/>
      </left>
      <right style="thin">
        <color rgb="FF000000"/>
      </right>
      <top/>
      <bottom/>
    </border>
    <border>
      <left style="thin">
        <color rgb="FF000000"/>
      </left>
      <right style="medium">
        <color rgb="FF000000"/>
      </right>
      <top/>
      <bottom/>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right style="thin">
        <color rgb="FF000000"/>
      </right>
      <top style="thin">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right/>
      <top style="thin">
        <color rgb="FF000000"/>
      </top>
    </border>
    <border>
      <right/>
    </border>
    <border>
      <left style="medium">
        <color rgb="FF000000"/>
      </left>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1" fillId="0"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0"/>
    </xf>
    <xf borderId="3" fillId="0" fontId="2" numFmtId="0" xfId="0" applyAlignment="1" applyBorder="1" applyFont="1">
      <alignment horizontal="left" shrinkToFit="0" vertical="center" wrapText="0"/>
    </xf>
    <xf borderId="4" fillId="0" fontId="3" numFmtId="0" xfId="0" applyAlignment="1" applyBorder="1" applyFont="1">
      <alignment horizontal="center" shrinkToFit="0" vertical="center" wrapText="1"/>
    </xf>
    <xf borderId="5" fillId="0" fontId="1" numFmtId="0" xfId="0" applyAlignment="1" applyBorder="1" applyFont="1">
      <alignment shrinkToFit="0" vertical="center" wrapText="0"/>
    </xf>
    <xf borderId="0" fillId="0" fontId="4" numFmtId="0" xfId="0" applyAlignment="1" applyFont="1">
      <alignment horizontal="center" shrinkToFit="0" vertical="center" wrapText="0"/>
    </xf>
    <xf borderId="6" fillId="0" fontId="5" numFmtId="0" xfId="0" applyBorder="1" applyFont="1"/>
    <xf borderId="7" fillId="0" fontId="5" numFmtId="0" xfId="0" applyBorder="1" applyFont="1"/>
    <xf borderId="8" fillId="0" fontId="5" numFmtId="0" xfId="0" applyBorder="1" applyFont="1"/>
    <xf borderId="0" fillId="0" fontId="6" numFmtId="0" xfId="0" applyAlignment="1" applyFont="1">
      <alignment shrinkToFit="0" vertical="center" wrapText="1"/>
    </xf>
    <xf borderId="9" fillId="0" fontId="5" numFmtId="0" xfId="0" applyBorder="1" applyFont="1"/>
    <xf borderId="10" fillId="0" fontId="1" numFmtId="0" xfId="0" applyAlignment="1" applyBorder="1" applyFont="1">
      <alignment horizontal="center" shrinkToFit="0" vertical="center" wrapText="0"/>
    </xf>
    <xf borderId="5" fillId="0" fontId="1" numFmtId="15" xfId="0" applyAlignment="1" applyBorder="1" applyFont="1" applyNumberFormat="1">
      <alignment horizontal="left" shrinkToFit="0" vertical="center" wrapText="0"/>
    </xf>
    <xf borderId="11" fillId="0" fontId="1" numFmtId="0" xfId="0" applyAlignment="1" applyBorder="1" applyFont="1">
      <alignment horizontal="left" shrinkToFit="0" vertical="center" wrapText="0"/>
    </xf>
    <xf borderId="12" fillId="2" fontId="7" numFmtId="0" xfId="0" applyAlignment="1" applyBorder="1" applyFill="1" applyFont="1">
      <alignment horizontal="center" shrinkToFit="0" vertical="center" wrapText="1"/>
    </xf>
    <xf borderId="13" fillId="0" fontId="5" numFmtId="0" xfId="0" applyBorder="1" applyFont="1"/>
    <xf borderId="14" fillId="0" fontId="5" numFmtId="0" xfId="0" applyBorder="1" applyFont="1"/>
    <xf borderId="5" fillId="0" fontId="1" numFmtId="0" xfId="0" applyAlignment="1" applyBorder="1" applyFont="1">
      <alignment horizontal="left" shrinkToFit="0" vertical="center" wrapText="0"/>
    </xf>
    <xf borderId="15" fillId="0" fontId="5" numFmtId="0" xfId="0" applyBorder="1" applyFont="1"/>
    <xf borderId="16" fillId="0" fontId="8" numFmtId="0" xfId="0" applyAlignment="1" applyBorder="1" applyFont="1">
      <alignment horizontal="left" shrinkToFit="0" vertical="center" wrapText="1"/>
    </xf>
    <xf borderId="17" fillId="0" fontId="5" numFmtId="0" xfId="0" applyBorder="1" applyFont="1"/>
    <xf borderId="18" fillId="0" fontId="5" numFmtId="0" xfId="0" applyBorder="1" applyFont="1"/>
    <xf borderId="19" fillId="0" fontId="9" numFmtId="0" xfId="0" applyAlignment="1" applyBorder="1" applyFont="1">
      <alignment horizontal="left" shrinkToFit="0" vertical="center" wrapText="1"/>
    </xf>
    <xf borderId="20" fillId="0" fontId="5" numFmtId="0" xfId="0" applyBorder="1" applyFont="1"/>
    <xf borderId="21" fillId="0" fontId="5" numFmtId="0" xfId="0" applyBorder="1" applyFont="1"/>
    <xf borderId="22" fillId="0" fontId="5" numFmtId="0" xfId="0" applyBorder="1" applyFont="1"/>
    <xf borderId="23" fillId="0" fontId="5" numFmtId="0" xfId="0" applyBorder="1" applyFont="1"/>
    <xf borderId="24" fillId="0" fontId="5" numFmtId="0" xfId="0" applyBorder="1" applyFont="1"/>
    <xf borderId="25" fillId="0" fontId="9" numFmtId="0" xfId="0" applyAlignment="1" applyBorder="1" applyFont="1">
      <alignment horizontal="left" shrinkToFit="0" vertical="center" wrapText="1"/>
    </xf>
    <xf borderId="0" fillId="0" fontId="10" numFmtId="0" xfId="0" applyAlignment="1" applyFont="1">
      <alignment shrinkToFit="0" vertical="center" wrapText="0"/>
    </xf>
    <xf borderId="0" fillId="0" fontId="10" numFmtId="0" xfId="0" applyAlignment="1" applyFont="1">
      <alignment shrinkToFit="0" vertical="center" wrapText="1"/>
    </xf>
    <xf borderId="26" fillId="0" fontId="10" numFmtId="0" xfId="0" applyAlignment="1" applyBorder="1" applyFont="1">
      <alignment horizontal="center" shrinkToFit="0" vertical="center" wrapText="1"/>
    </xf>
    <xf borderId="0" fillId="0" fontId="11" numFmtId="0" xfId="0" applyAlignment="1" applyFont="1">
      <alignment horizontal="center" shrinkToFit="0" vertical="center" wrapText="1"/>
    </xf>
    <xf borderId="27" fillId="0" fontId="5" numFmtId="0" xfId="0" applyBorder="1" applyFont="1"/>
    <xf borderId="28" fillId="0" fontId="10" numFmtId="1" xfId="0" applyAlignment="1" applyBorder="1" applyFont="1" applyNumberFormat="1">
      <alignment horizontal="center" shrinkToFit="0" vertical="center" wrapText="1"/>
    </xf>
    <xf borderId="25" fillId="0" fontId="10" numFmtId="1" xfId="0" applyAlignment="1" applyBorder="1" applyFont="1" applyNumberFormat="1">
      <alignment horizontal="center" shrinkToFit="0" vertical="center" wrapText="1"/>
    </xf>
    <xf borderId="29" fillId="0" fontId="11" numFmtId="0" xfId="0" applyAlignment="1" applyBorder="1" applyFont="1">
      <alignment horizontal="left" shrinkToFit="0" vertical="center" wrapText="0"/>
    </xf>
    <xf borderId="30" fillId="0" fontId="5" numFmtId="0" xfId="0" applyBorder="1" applyFont="1"/>
    <xf borderId="30" fillId="0" fontId="11" numFmtId="0" xfId="0" applyAlignment="1" applyBorder="1" applyFont="1">
      <alignment horizontal="center" shrinkToFit="0" vertical="center" wrapText="0"/>
    </xf>
    <xf borderId="31" fillId="0" fontId="5" numFmtId="0" xfId="0" applyBorder="1" applyFont="1"/>
    <xf borderId="32" fillId="0" fontId="11" numFmtId="0" xfId="0" applyAlignment="1" applyBorder="1" applyFont="1">
      <alignment horizontal="left" shrinkToFit="0" vertical="center" wrapText="0"/>
    </xf>
    <xf borderId="32" fillId="0" fontId="11" numFmtId="0" xfId="0" applyAlignment="1" applyBorder="1" applyFont="1">
      <alignment horizontal="center" shrinkToFit="0" vertical="center" wrapText="0"/>
    </xf>
    <xf borderId="5" fillId="0" fontId="3" numFmtId="0" xfId="0" applyAlignment="1" applyBorder="1" applyFont="1">
      <alignment horizontal="center" shrinkToFit="0" vertical="center" wrapText="1"/>
    </xf>
    <xf borderId="33" fillId="2" fontId="12" numFmtId="0" xfId="0" applyAlignment="1" applyBorder="1" applyFill="1" applyFont="1">
      <alignment horizontal="left" shrinkToFit="0" vertical="center" wrapText="1"/>
    </xf>
    <xf borderId="34" fillId="0" fontId="5" numFmtId="0" xfId="0" applyBorder="1" applyFont="1"/>
    <xf borderId="35" fillId="0" fontId="5" numFmtId="0" xfId="0" applyBorder="1" applyFont="1"/>
    <xf borderId="36" fillId="2" fontId="12" numFmtId="0" xfId="0" applyAlignment="1" applyBorder="1" applyFill="1" applyFont="1">
      <alignment horizontal="left" shrinkToFit="0" vertical="center" wrapText="1"/>
    </xf>
    <xf borderId="37" fillId="0" fontId="5" numFmtId="0" xfId="0" applyBorder="1" applyFont="1"/>
    <xf borderId="38" fillId="0" fontId="10" numFmtId="0" xfId="0" applyAlignment="1" applyBorder="1" applyFont="1">
      <alignment horizontal="left" shrinkToFit="0" vertical="center" wrapText="1"/>
    </xf>
    <xf borderId="29" fillId="0" fontId="13" numFmtId="0" xfId="0" applyAlignment="1" applyBorder="1" applyFont="1">
      <alignment horizontal="left" shrinkToFit="0" vertical="center" wrapText="1"/>
    </xf>
    <xf borderId="39" fillId="0" fontId="5" numFmtId="0" xfId="0" applyBorder="1" applyFont="1"/>
    <xf borderId="40" fillId="0" fontId="10" numFmtId="0" xfId="0" applyAlignment="1" applyBorder="1" applyFont="1">
      <alignment horizontal="left" shrinkToFit="0" vertical="center" wrapText="1"/>
    </xf>
    <xf borderId="41" fillId="0" fontId="5" numFmtId="0" xfId="0" applyBorder="1" applyFont="1"/>
    <xf borderId="42" fillId="0" fontId="5" numFmtId="0" xfId="0" applyBorder="1" applyFont="1"/>
    <xf borderId="43" fillId="0" fontId="13" numFmtId="0" xfId="0" applyAlignment="1" applyBorder="1" applyFont="1">
      <alignment horizontal="left" shrinkToFit="0" vertical="center" wrapText="1"/>
    </xf>
    <xf borderId="44" fillId="0" fontId="5" numFmtId="0" xfId="0" applyBorder="1" applyFont="1"/>
    <xf borderId="45" fillId="0" fontId="10" numFmtId="0" xfId="0" applyAlignment="1" applyBorder="1" applyFont="1">
      <alignment horizontal="left" shrinkToFit="0" vertical="center" wrapText="1"/>
    </xf>
    <xf borderId="16" fillId="2" fontId="14" numFmtId="0" xfId="0" applyAlignment="1" applyBorder="1" applyFill="1" applyFont="1">
      <alignment shrinkToFit="0" vertical="center" wrapText="1"/>
    </xf>
    <xf borderId="16" fillId="2" fontId="11" numFmtId="0" xfId="0" applyAlignment="1" applyBorder="1" applyFill="1" applyFont="1">
      <alignment horizontal="center" shrinkToFit="0" vertical="center" wrapText="1"/>
    </xf>
    <xf borderId="46" fillId="2" fontId="11" numFmtId="0" xfId="0" applyAlignment="1" applyBorder="1" applyFill="1" applyFont="1">
      <alignment horizontal="center" shrinkToFit="0" vertical="center" wrapText="1"/>
    </xf>
    <xf borderId="47" fillId="0" fontId="10" numFmtId="0" xfId="0" applyAlignment="1" applyBorder="1" applyFont="1">
      <alignment horizontal="left" shrinkToFit="0" vertical="center" wrapText="1"/>
    </xf>
    <xf borderId="48" fillId="0" fontId="5" numFmtId="0" xfId="0" applyBorder="1" applyFont="1"/>
    <xf borderId="49" fillId="0" fontId="15" numFmtId="0" xfId="0" applyAlignment="1" applyBorder="1" applyFont="1">
      <alignment horizontal="center" shrinkToFit="0" vertical="center" wrapText="1"/>
    </xf>
    <xf borderId="50" fillId="0" fontId="11" numFmtId="0" xfId="0" applyAlignment="1" applyBorder="1" applyFont="1">
      <alignment horizontal="center" shrinkToFit="0" vertical="center" wrapText="1"/>
    </xf>
    <xf borderId="0" fillId="0" fontId="10" numFmtId="0" xfId="0" applyAlignment="1" applyFont="1">
      <alignment horizontal="center" shrinkToFit="0" vertical="center" wrapText="0"/>
    </xf>
    <xf borderId="51" fillId="0" fontId="5" numFmtId="0" xfId="0" applyBorder="1" applyFont="1"/>
    <xf borderId="5" fillId="0" fontId="1" numFmtId="0" xfId="0" applyAlignment="1" applyBorder="1" applyFont="1">
      <alignment horizontal="center" shrinkToFit="0" vertical="center" wrapText="0"/>
    </xf>
    <xf borderId="11" fillId="0" fontId="1" numFmtId="0" xfId="0" applyAlignment="1" applyBorder="1" applyFont="1">
      <alignment horizontal="center" shrinkToFit="0" vertical="center" wrapText="0"/>
    </xf>
    <xf borderId="52" fillId="0" fontId="10"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53" fillId="3" fontId="10" numFmtId="0" xfId="0" applyAlignment="1" applyBorder="1" applyFill="1" applyFont="1">
      <alignment horizontal="center" shrinkToFit="0" vertical="center" wrapText="1"/>
    </xf>
    <xf borderId="53" fillId="3" fontId="10" numFmtId="1" xfId="0" applyAlignment="1" applyBorder="1" applyFill="1" applyFont="1" applyNumberFormat="1">
      <alignment horizontal="center" shrinkToFit="0" vertical="center" wrapText="1"/>
    </xf>
    <xf borderId="54" fillId="0" fontId="10" numFmtId="0" xfId="0" applyAlignment="1" applyBorder="1" applyFont="1">
      <alignment horizontal="left" shrinkToFit="0" vertical="center" wrapText="1"/>
    </xf>
    <xf borderId="26" fillId="0" fontId="5" numFmtId="0" xfId="0" applyBorder="1" applyFont="1"/>
    <xf borderId="55" fillId="0" fontId="15" numFmtId="0" xfId="0" applyAlignment="1" applyBorder="1" applyFont="1">
      <alignment horizontal="center" shrinkToFit="0" vertical="center" wrapText="1"/>
    </xf>
    <xf borderId="0" fillId="0" fontId="10" numFmtId="0" xfId="0" applyAlignment="1" applyFont="1">
      <alignment horizontal="center" shrinkToFit="0" vertical="center" wrapText="1"/>
    </xf>
    <xf borderId="4" fillId="0" fontId="16" numFmtId="0" xfId="0" applyAlignment="1" applyBorder="1" applyFont="1">
      <alignment horizontal="center" shrinkToFit="0" vertical="center" wrapText="1"/>
    </xf>
    <xf borderId="56" fillId="0" fontId="10" numFmtId="0" xfId="0" applyAlignment="1" applyBorder="1" applyFont="1">
      <alignment horizontal="center" shrinkToFit="0" vertical="center" wrapText="1"/>
    </xf>
    <xf borderId="57" fillId="0" fontId="1" numFmtId="0" xfId="0" applyAlignment="1" applyBorder="1" applyFont="1">
      <alignment horizontal="center" shrinkToFit="0" vertical="center" wrapText="1"/>
    </xf>
    <xf borderId="58" fillId="0" fontId="10" numFmtId="0" xfId="0" applyAlignment="1" applyBorder="1" applyFont="1">
      <alignment horizontal="center" shrinkToFit="0" vertical="center" wrapText="1"/>
    </xf>
    <xf borderId="59" fillId="0" fontId="5" numFmtId="0" xfId="0" applyBorder="1" applyFont="1"/>
    <xf borderId="60" fillId="3" fontId="10" numFmtId="0" xfId="0" applyAlignment="1" applyBorder="1" applyFill="1" applyFont="1">
      <alignment horizontal="center" shrinkToFit="0" vertical="center" wrapText="1"/>
    </xf>
    <xf borderId="28" fillId="3" fontId="10" numFmtId="1" xfId="0" applyAlignment="1" applyBorder="1" applyFill="1" applyFont="1" applyNumberFormat="1">
      <alignment horizontal="center" shrinkToFit="0" vertical="center" wrapText="1"/>
    </xf>
    <xf borderId="0" fillId="0" fontId="1" numFmtId="0" xfId="0" applyAlignment="1" applyFont="1">
      <alignment horizontal="center" shrinkToFit="0" vertical="center" wrapText="1"/>
    </xf>
    <xf borderId="10"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0" fillId="2" fontId="11" numFmtId="0" xfId="0" applyAlignment="1" applyBorder="1" applyFill="1" applyFont="1">
      <alignment horizontal="center" shrinkToFit="0" vertical="center" wrapText="1"/>
    </xf>
    <xf borderId="29" fillId="2" fontId="11" numFmtId="0" xfId="0" applyAlignment="1" applyBorder="1" applyFill="1" applyFont="1">
      <alignment horizontal="center" shrinkToFit="0" vertical="center" wrapText="1"/>
    </xf>
    <xf borderId="10" fillId="0" fontId="10" numFmtId="0" xfId="0" applyAlignment="1" applyBorder="1" applyFont="1">
      <alignment shrinkToFit="0" vertical="center" wrapText="1"/>
    </xf>
    <xf borderId="29" fillId="0" fontId="10" numFmtId="0" xfId="0" applyAlignment="1" applyBorder="1" applyFont="1">
      <alignment horizontal="left" shrinkToFit="0" vertical="center" wrapText="1"/>
    </xf>
    <xf borderId="61" fillId="0" fontId="10" numFmtId="0" xfId="0" applyAlignment="1" applyBorder="1" applyFont="1">
      <alignment horizontal="center" shrinkToFit="0" vertical="center" wrapText="0"/>
    </xf>
    <xf borderId="49" fillId="0" fontId="5" numFmtId="0" xfId="0" applyBorder="1" applyFont="1"/>
    <xf borderId="62" fillId="0" fontId="10" numFmtId="0" xfId="0" applyAlignment="1" applyBorder="1" applyFont="1">
      <alignment shrinkToFit="0" vertical="center" wrapText="1"/>
    </xf>
    <xf borderId="43" fillId="0" fontId="10" numFmtId="0" xfId="0" applyAlignment="1" applyBorder="1" applyFont="1">
      <alignment horizontal="left" shrinkToFit="0" vertical="center" wrapText="1"/>
    </xf>
    <xf borderId="43" fillId="0" fontId="10" numFmtId="0" xfId="0" applyAlignment="1" applyBorder="1" applyFont="1">
      <alignment horizontal="center" shrinkToFit="0" vertical="center" wrapText="0"/>
    </xf>
    <xf borderId="0" fillId="0" fontId="17" numFmtId="0" xfId="0" applyAlignment="1" applyFont="1">
      <alignment shrinkToFit="0" vertical="center" wrapText="0"/>
    </xf>
    <xf borderId="5" fillId="2" fontId="11" numFmtId="0" xfId="0" applyAlignment="1" applyBorder="1" applyFill="1" applyFont="1">
      <alignment shrinkToFit="0" vertical="center" wrapText="1"/>
    </xf>
    <xf borderId="10" fillId="3" fontId="10" numFmtId="0" xfId="0" applyAlignment="1" applyBorder="1" applyFill="1" applyFont="1">
      <alignment horizontal="center" shrinkToFit="0" vertical="center" wrapText="0"/>
    </xf>
    <xf borderId="29" fillId="0" fontId="10"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62" fillId="3" fontId="10" numFmtId="0" xfId="0" applyAlignment="1" applyBorder="1" applyFill="1" applyFont="1">
      <alignment horizontal="center" shrinkToFit="0" vertical="center" wrapText="0"/>
    </xf>
    <xf borderId="43" fillId="0" fontId="10" numFmtId="0" xfId="0" applyAlignment="1" applyBorder="1" applyFont="1">
      <alignment horizontal="center" shrinkToFit="0" vertical="center" wrapText="1"/>
    </xf>
    <xf borderId="63" fillId="0" fontId="10" numFmtId="0" xfId="0" applyAlignment="1" applyBorder="1" applyFont="1">
      <alignment horizontal="center" shrinkToFit="0" vertical="center" wrapText="1"/>
    </xf>
    <xf borderId="16" fillId="2" fontId="12" numFmtId="0" xfId="0" applyAlignment="1" applyBorder="1" applyFill="1" applyFont="1">
      <alignment horizontal="left" shrinkToFit="0" vertical="center" wrapText="0"/>
    </xf>
    <xf borderId="64" fillId="0" fontId="5" numFmtId="0" xfId="0" applyBorder="1" applyFont="1"/>
    <xf borderId="65" fillId="2" fontId="12" numFmtId="0" xfId="0" applyAlignment="1" applyBorder="1" applyFill="1" applyFont="1">
      <alignment horizontal="left" shrinkToFit="0" vertical="center" wrapText="0"/>
    </xf>
    <xf borderId="65" fillId="2" fontId="18" numFmtId="0" xfId="0" applyAlignment="1" applyBorder="1" applyFill="1" applyFont="1">
      <alignment horizontal="left" shrinkToFit="0" vertical="center" wrapText="0"/>
    </xf>
    <xf borderId="53" fillId="2" fontId="12" numFmtId="0" xfId="0" applyAlignment="1" applyBorder="1" applyFill="1" applyFont="1">
      <alignment horizontal="left" shrinkToFit="0" vertical="center" wrapText="0"/>
    </xf>
    <xf borderId="16" fillId="2" fontId="19" numFmtId="0" xfId="0" applyAlignment="1" applyBorder="1" applyFill="1" applyFont="1">
      <alignment horizontal="center" shrinkToFit="0" vertical="center" wrapText="0"/>
    </xf>
    <xf borderId="66" fillId="0" fontId="1" numFmtId="0" xfId="0" applyAlignment="1" applyBorder="1" applyFont="1">
      <alignment horizontal="center" shrinkToFit="0" vertical="center" wrapText="0"/>
    </xf>
    <xf borderId="67"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4" fillId="0" fontId="20" numFmtId="0" xfId="0" applyAlignment="1" applyBorder="1" applyFont="1">
      <alignment horizontal="center" shrinkToFit="0" vertical="center" wrapText="0"/>
    </xf>
    <xf borderId="69" fillId="0" fontId="1" numFmtId="0" xfId="0" applyAlignment="1" applyBorder="1" applyFont="1">
      <alignment horizontal="center" shrinkToFit="0" vertical="center" wrapText="0"/>
    </xf>
    <xf borderId="70" fillId="0" fontId="1" numFmtId="0" xfId="0" applyAlignment="1" applyBorder="1" applyFont="1">
      <alignment horizontal="left" shrinkToFit="0" vertical="center" wrapText="0"/>
    </xf>
    <xf borderId="71" fillId="0" fontId="1" numFmtId="0" xfId="0" applyAlignment="1" applyBorder="1" applyFont="1">
      <alignment horizontal="left" shrinkToFit="0" vertical="center" wrapText="0"/>
    </xf>
    <xf borderId="5" fillId="0" fontId="1" numFmtId="0" xfId="0" applyAlignment="1" applyBorder="1" applyFont="1">
      <alignment horizontal="left" shrinkToFit="0" vertical="center" wrapText="0"/>
    </xf>
    <xf borderId="11" fillId="0" fontId="1" numFmtId="0" xfId="0" applyAlignment="1" applyBorder="1" applyFont="1">
      <alignment horizontal="left" shrinkToFit="0" vertical="center" wrapText="0"/>
    </xf>
    <xf borderId="54" fillId="0" fontId="5" numFmtId="0" xfId="0" applyBorder="1" applyFont="1"/>
    <xf borderId="55" fillId="0" fontId="5" numFmtId="0" xfId="0" applyBorder="1" applyFont="1"/>
    <xf borderId="38" fillId="2" fontId="12" numFmtId="0" xfId="0" applyAlignment="1" applyBorder="1" applyFill="1" applyFont="1">
      <alignment horizontal="left" shrinkToFit="0" vertical="center" wrapText="1"/>
    </xf>
    <xf borderId="29" fillId="2" fontId="12" numFmtId="0" xfId="0" applyAlignment="1" applyBorder="1" applyFill="1" applyFont="1">
      <alignment horizontal="left" shrinkToFit="0" vertical="center" wrapText="1"/>
    </xf>
    <xf borderId="25" fillId="0" fontId="1" numFmtId="0" xfId="0" applyAlignment="1" applyBorder="1" applyFont="1">
      <alignment shrinkToFit="0" vertical="center" wrapText="0"/>
    </xf>
    <xf borderId="72" fillId="0" fontId="14" numFmtId="0" xfId="0" applyAlignment="1" applyBorder="1" applyFont="1">
      <alignment horizontal="left" shrinkToFit="0" vertical="center" wrapText="1"/>
    </xf>
    <xf borderId="45" fillId="0" fontId="5" numFmtId="0" xfId="0" applyBorder="1" applyFont="1"/>
    <xf borderId="73" fillId="0" fontId="5" numFmtId="0" xfId="0" applyBorder="1" applyFont="1"/>
    <xf borderId="74" fillId="0" fontId="14" numFmtId="0" xfId="0" applyAlignment="1" applyBorder="1" applyFont="1">
      <alignment horizontal="left" shrinkToFit="0" vertical="center" wrapText="1"/>
    </xf>
    <xf borderId="3" fillId="0" fontId="5" numFmtId="0" xfId="0" applyBorder="1" applyFont="1"/>
    <xf borderId="75" fillId="0" fontId="5" numFmtId="0" xfId="0" applyBorder="1" applyFont="1"/>
    <xf borderId="76" fillId="0" fontId="5" numFmtId="0" xfId="0" applyBorder="1" applyFont="1"/>
    <xf borderId="67"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77" fillId="0" fontId="1" numFmtId="0" xfId="0" applyAlignment="1" applyBorder="1" applyFont="1">
      <alignment horizontal="center" shrinkToFit="0" vertical="center" wrapText="0"/>
    </xf>
    <xf borderId="78" fillId="0" fontId="1" numFmtId="0" xfId="0" applyAlignment="1" applyBorder="1" applyFont="1">
      <alignment horizontal="left" shrinkToFit="0" vertical="center" wrapText="0"/>
    </xf>
    <xf borderId="79" fillId="0" fontId="1" numFmtId="0" xfId="0" applyAlignment="1" applyBorder="1" applyFont="1">
      <alignment horizontal="left" shrinkToFit="0" vertical="center" wrapText="0"/>
    </xf>
    <xf borderId="80" fillId="0" fontId="5" numFmtId="0" xfId="0" applyBorder="1" applyFont="1"/>
    <xf borderId="32" fillId="0" fontId="5" numFmtId="0" xfId="0" applyBorder="1" applyFont="1"/>
    <xf borderId="81" fillId="0" fontId="5" numFmtId="0" xfId="0" applyBorder="1" applyFont="1"/>
    <xf borderId="82" fillId="0" fontId="5" numFmtId="0" xfId="0" applyBorder="1" applyFont="1"/>
    <xf borderId="83" fillId="0" fontId="5" numFmtId="0" xfId="0" applyBorder="1" applyFont="1"/>
    <xf borderId="38" fillId="0" fontId="14" numFmtId="0" xfId="0" applyAlignment="1" applyBorder="1" applyFont="1">
      <alignment horizontal="center" shrinkToFit="0" vertical="center" wrapText="1"/>
    </xf>
    <xf borderId="47" fillId="0" fontId="14" numFmtId="0" xfId="0" applyAlignment="1" applyBorder="1" applyFont="1">
      <alignment horizontal="left" shrinkToFit="0" vertical="center" wrapText="1"/>
    </xf>
    <xf borderId="84" fillId="0" fontId="5" numFmtId="0" xfId="0" applyBorder="1" applyFont="1"/>
    <xf borderId="61" fillId="0" fontId="14" numFmtId="0" xfId="0" applyAlignment="1" applyBorder="1" applyFont="1">
      <alignment horizontal="left" shrinkToFit="0" vertical="center" wrapText="1"/>
    </xf>
    <xf borderId="10" fillId="0" fontId="1" numFmtId="0" xfId="0" applyAlignment="1" applyBorder="1" applyFont="1">
      <alignment horizontal="center" shrinkToFit="0" vertical="center" wrapText="0"/>
    </xf>
    <xf borderId="51" fillId="0" fontId="14" numFmtId="0" xfId="0" applyAlignment="1" applyBorder="1" applyFont="1">
      <alignment horizontal="center" shrinkToFit="0" vertical="center" wrapText="1"/>
    </xf>
    <xf borderId="31" fillId="0" fontId="1" numFmtId="0" xfId="0" applyAlignment="1" applyBorder="1" applyFont="1">
      <alignment shrinkToFit="0" vertical="center" wrapText="0"/>
    </xf>
    <xf borderId="5" fillId="0" fontId="1" numFmtId="0" xfId="0" applyAlignment="1" applyBorder="1" applyFont="1">
      <alignment shrinkToFit="0" vertical="center" wrapText="1"/>
    </xf>
    <xf borderId="4" fillId="0" fontId="20" numFmtId="0" xfId="0" applyAlignment="1" applyBorder="1" applyFont="1">
      <alignment horizontal="center" shrinkToFit="0" vertical="center" wrapText="1"/>
    </xf>
    <xf borderId="85" fillId="0" fontId="1" numFmtId="0" xfId="0" applyAlignment="1" applyBorder="1" applyFont="1">
      <alignment horizontal="center" shrinkToFit="0" vertical="center" wrapText="0"/>
    </xf>
    <xf borderId="86" fillId="0" fontId="1" numFmtId="0" xfId="0" applyAlignment="1" applyBorder="1" applyFont="1">
      <alignment horizontal="left" shrinkToFit="0" vertical="center" wrapText="0"/>
    </xf>
    <xf borderId="87" fillId="0" fontId="1" numFmtId="0" xfId="0" applyAlignment="1" applyBorder="1" applyFont="1">
      <alignment horizontal="left" shrinkToFit="0" vertical="center" wrapText="0"/>
    </xf>
    <xf borderId="4" fillId="0" fontId="1" numFmtId="0" xfId="0" applyAlignment="1" applyBorder="1" applyFont="1">
      <alignment shrinkToFit="0" vertical="center" wrapText="0"/>
    </xf>
    <xf borderId="25" fillId="0" fontId="1" numFmtId="0" xfId="0" applyAlignment="1" applyBorder="1" applyFont="1">
      <alignment horizontal="left" shrinkToFit="0" vertical="center" wrapText="0"/>
    </xf>
    <xf borderId="0" fillId="0" fontId="20" numFmtId="0" xfId="0" applyAlignment="1" applyFont="1">
      <alignment horizontal="center" shrinkToFit="0" vertical="center" wrapText="0"/>
    </xf>
    <xf borderId="9" fillId="0" fontId="1" numFmtId="0" xfId="0" applyAlignment="1" applyBorder="1" applyFont="1">
      <alignment shrinkToFit="0" vertical="center" wrapText="0"/>
    </xf>
    <xf borderId="58" fillId="0" fontId="5" numFmtId="0" xfId="0" applyBorder="1" applyFont="1"/>
    <xf borderId="0" fillId="0" fontId="1" numFmtId="0" xfId="0" applyAlignment="1" applyFont="1">
      <alignment shrinkToFit="0" vertical="bottom" wrapText="0"/>
    </xf>
    <xf borderId="88" fillId="0" fontId="5" numFmtId="0" xfId="0" applyBorder="1" applyFont="1"/>
    <xf borderId="89" fillId="0" fontId="5" numFmtId="0" xfId="0" applyBorder="1" applyFont="1"/>
    <xf borderId="90" fillId="0" fontId="5" numFmtId="0" xfId="0" applyBorder="1" applyFont="1"/>
    <xf borderId="0" fillId="0" fontId="10" numFmtId="0" xfId="0" applyAlignment="1" applyFont="1">
      <alignment horizontal="left" shrinkToFit="0" vertical="center" wrapText="1"/>
    </xf>
    <xf borderId="38" fillId="2" fontId="11" numFmtId="0" xfId="0" applyAlignment="1" applyBorder="1" applyFill="1" applyFont="1">
      <alignment horizontal="center" shrinkToFit="0" vertical="center" wrapText="1"/>
    </xf>
    <xf borderId="11" fillId="2" fontId="11" numFmtId="0" xfId="0" applyAlignment="1" applyBorder="1" applyFill="1" applyFont="1">
      <alignment horizontal="center" shrinkToFit="0" vertical="center" wrapText="1"/>
    </xf>
    <xf borderId="11" fillId="0" fontId="10" numFmtId="0" xfId="0" applyAlignment="1" applyBorder="1" applyFont="1">
      <alignment horizontal="center" shrinkToFit="0" vertical="center" wrapText="1"/>
    </xf>
    <xf borderId="91" fillId="0" fontId="10" numFmtId="0" xfId="0" applyAlignment="1" applyBorder="1" applyFont="1">
      <alignment horizontal="center" shrinkToFit="0" vertical="center" wrapText="1"/>
    </xf>
    <xf borderId="0" fillId="0" fontId="21" numFmtId="0" xfId="0" applyAlignment="1" applyFont="1">
      <alignment horizontal="left" shrinkToFit="0" vertical="center" wrapText="0"/>
    </xf>
    <xf borderId="33" fillId="2" fontId="12" numFmtId="0" xfId="0" applyAlignment="1" applyBorder="1" applyFill="1" applyFont="1">
      <alignment horizontal="center" shrinkToFit="0" vertical="center" wrapText="1"/>
    </xf>
    <xf borderId="40" fillId="0" fontId="10" numFmtId="0" xfId="0" applyAlignment="1" applyBorder="1" applyFont="1">
      <alignment horizontal="center" shrinkToFit="0" vertical="center" wrapText="1"/>
    </xf>
    <xf borderId="43" fillId="0" fontId="10" numFmtId="14" xfId="0" applyAlignment="1" applyBorder="1" applyFont="1" applyNumberFormat="1">
      <alignment horizontal="center" shrinkToFit="0" vertical="center" wrapText="0"/>
    </xf>
    <xf borderId="0" fillId="0" fontId="10" numFmtId="0" xfId="0" applyAlignment="1" applyFont="1">
      <alignment horizontal="left" shrinkToFit="0" vertical="center" wrapText="0"/>
    </xf>
    <xf borderId="0" fillId="0" fontId="22" numFmtId="0" xfId="0" applyAlignment="1" applyFont="1">
      <alignment horizontal="left" shrinkToFit="0" vertical="center" wrapText="1"/>
    </xf>
    <xf borderId="0" fillId="0" fontId="9"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85725</xdr:rowOff>
    </xdr:from>
    <xdr:ext cx="1857375" cy="6000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 and Settings/Administrador/Configuraci&#243;n local/Archivos temporales de Internet/Content.IE5/OD76K957/Asignaturas_Pregrado_feb2011-Para_revision.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ignaturas pregrado"/>
    </sheetNames>
  </externalBook>
</externalLink>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showGridLines="0" workbookViewId="0"/>
  </sheetViews>
  <sheetFormatPr customHeight="1" defaultColWidth="12.63" defaultRowHeight="15.0"/>
  <cols>
    <col customWidth="1" min="1" max="1" width="7.75"/>
    <col customWidth="1" min="2" max="2" width="7.25"/>
    <col customWidth="1" min="3" max="3" width="8.63"/>
    <col customWidth="1" min="4" max="4" width="8.25"/>
    <col customWidth="1" min="5" max="5" width="13.75"/>
    <col customWidth="1" min="6" max="6" width="9.75"/>
    <col customWidth="1" min="7" max="7" width="6.38"/>
    <col customWidth="1" min="8" max="8" width="2.88"/>
    <col customWidth="1" min="9" max="9" width="2.13"/>
    <col customWidth="1" min="10" max="10" width="5.75"/>
    <col customWidth="1" min="11" max="11" width="13.38"/>
    <col customWidth="1" min="12" max="12" width="8.13"/>
    <col customWidth="1" min="13" max="13" width="11.38"/>
    <col customWidth="1" hidden="1" min="14" max="15" width="11.38"/>
    <col customWidth="1" hidden="1" min="16" max="16" width="24.63"/>
    <col customWidth="1" hidden="1" min="17" max="17" width="9.38"/>
    <col customWidth="1" hidden="1" min="18" max="19" width="11.38"/>
    <col customWidth="1" hidden="1" min="20" max="20" width="13.13"/>
    <col customWidth="1" hidden="1" min="21" max="23" width="11.38"/>
    <col customWidth="1" hidden="1" min="24" max="24" width="18.75"/>
    <col customWidth="1" hidden="1" min="25" max="25" width="73.38"/>
    <col customWidth="1" hidden="1" min="26" max="26" width="11.38"/>
  </cols>
  <sheetData>
    <row r="1" ht="52.5" customHeight="1">
      <c r="A1" s="1"/>
      <c r="M1" s="2"/>
      <c r="N1" s="2"/>
      <c r="O1" s="3" t="s">
        <v>0</v>
      </c>
      <c r="P1" s="4" t="s">
        <v>1</v>
      </c>
      <c r="Q1" s="5" t="s">
        <v>2</v>
      </c>
      <c r="R1" s="2"/>
      <c r="S1" s="2" t="s">
        <v>2</v>
      </c>
      <c r="T1" s="2" t="s">
        <v>3</v>
      </c>
      <c r="U1" s="2"/>
      <c r="V1" s="2" t="s">
        <v>4</v>
      </c>
      <c r="W1" s="2" t="s">
        <v>5</v>
      </c>
      <c r="X1" s="6" t="s">
        <v>6</v>
      </c>
      <c r="Y1" s="7" t="s">
        <v>7</v>
      </c>
      <c r="Z1" s="2"/>
    </row>
    <row r="2" ht="13.5" customHeight="1">
      <c r="A2" s="8" t="s">
        <v>8</v>
      </c>
      <c r="M2" s="2"/>
      <c r="N2" s="2"/>
      <c r="O2" s="9"/>
      <c r="P2" s="10"/>
      <c r="Q2" s="11"/>
      <c r="R2" s="2"/>
      <c r="S2" s="12"/>
      <c r="T2" s="2" t="s">
        <v>9</v>
      </c>
      <c r="U2" s="2" t="s">
        <v>10</v>
      </c>
      <c r="V2" s="2" t="s">
        <v>11</v>
      </c>
      <c r="W2" s="2" t="s">
        <v>12</v>
      </c>
      <c r="X2" s="13"/>
      <c r="Y2" s="7" t="s">
        <v>13</v>
      </c>
      <c r="Z2" s="2"/>
    </row>
    <row r="3" ht="13.5" customHeight="1">
      <c r="A3" s="8" t="s">
        <v>14</v>
      </c>
      <c r="M3" s="2"/>
      <c r="N3" s="2"/>
      <c r="O3" s="14">
        <v>2520.0</v>
      </c>
      <c r="P3" s="15" t="s">
        <v>15</v>
      </c>
      <c r="Q3" s="16" t="s">
        <v>10</v>
      </c>
      <c r="R3" s="14">
        <v>2520.0</v>
      </c>
      <c r="S3" s="12" t="s">
        <v>16</v>
      </c>
      <c r="T3" s="2" t="s">
        <v>17</v>
      </c>
      <c r="U3" s="2" t="s">
        <v>10</v>
      </c>
      <c r="V3" s="2" t="s">
        <v>18</v>
      </c>
      <c r="W3" s="2" t="s">
        <v>19</v>
      </c>
      <c r="X3" s="6" t="s">
        <v>20</v>
      </c>
      <c r="Y3" s="7" t="s">
        <v>21</v>
      </c>
      <c r="Z3" s="2"/>
    </row>
    <row r="4" ht="24.0" customHeight="1">
      <c r="A4" s="17" t="s">
        <v>22</v>
      </c>
      <c r="B4" s="18"/>
      <c r="C4" s="18"/>
      <c r="D4" s="18"/>
      <c r="E4" s="18"/>
      <c r="F4" s="18"/>
      <c r="G4" s="18"/>
      <c r="H4" s="18"/>
      <c r="I4" s="18"/>
      <c r="J4" s="18"/>
      <c r="K4" s="18"/>
      <c r="L4" s="19"/>
      <c r="M4" s="2"/>
      <c r="N4" s="2"/>
      <c r="O4" s="14">
        <v>2523.0</v>
      </c>
      <c r="P4" s="20" t="s">
        <v>23</v>
      </c>
      <c r="Q4" s="16" t="s">
        <v>10</v>
      </c>
      <c r="R4" s="14">
        <v>2523.0</v>
      </c>
      <c r="S4" s="12" t="s">
        <v>24</v>
      </c>
      <c r="T4" s="2" t="s">
        <v>25</v>
      </c>
      <c r="U4" s="2" t="s">
        <v>10</v>
      </c>
      <c r="V4" s="2"/>
      <c r="W4" s="2"/>
      <c r="X4" s="21"/>
      <c r="Y4" s="7" t="s">
        <v>26</v>
      </c>
      <c r="Z4" s="2"/>
    </row>
    <row r="5" ht="13.5" customHeight="1">
      <c r="A5" s="2"/>
      <c r="B5" s="2"/>
      <c r="C5" s="2"/>
      <c r="D5" s="2"/>
      <c r="E5" s="2"/>
      <c r="F5" s="2"/>
      <c r="G5" s="2"/>
      <c r="H5" s="2"/>
      <c r="I5" s="2"/>
      <c r="J5" s="2"/>
      <c r="K5" s="2"/>
      <c r="L5" s="2"/>
      <c r="M5" s="2"/>
      <c r="N5" s="2"/>
      <c r="O5" s="14">
        <v>2506.0</v>
      </c>
      <c r="P5" s="20" t="s">
        <v>27</v>
      </c>
      <c r="Q5" s="16" t="s">
        <v>10</v>
      </c>
      <c r="R5" s="14">
        <v>2506.0</v>
      </c>
      <c r="S5" s="12" t="s">
        <v>28</v>
      </c>
      <c r="T5" s="2" t="s">
        <v>29</v>
      </c>
      <c r="U5" s="2" t="s">
        <v>10</v>
      </c>
      <c r="V5" s="2"/>
      <c r="W5" s="2"/>
      <c r="X5" s="21"/>
      <c r="Y5" s="7" t="s">
        <v>30</v>
      </c>
      <c r="Z5" s="2"/>
    </row>
    <row r="6" ht="73.5" customHeight="1">
      <c r="A6" s="22" t="s">
        <v>31</v>
      </c>
      <c r="B6" s="23"/>
      <c r="C6" s="23"/>
      <c r="D6" s="23"/>
      <c r="E6" s="23"/>
      <c r="F6" s="23"/>
      <c r="G6" s="23"/>
      <c r="H6" s="23"/>
      <c r="I6" s="23"/>
      <c r="J6" s="23"/>
      <c r="K6" s="23"/>
      <c r="L6" s="24"/>
      <c r="M6" s="2"/>
      <c r="N6" s="2"/>
      <c r="O6" s="14">
        <v>2507.0</v>
      </c>
      <c r="P6" s="20" t="s">
        <v>32</v>
      </c>
      <c r="Q6" s="16" t="s">
        <v>10</v>
      </c>
      <c r="R6" s="14">
        <v>2507.0</v>
      </c>
      <c r="S6" s="12" t="s">
        <v>33</v>
      </c>
      <c r="T6" s="2" t="s">
        <v>34</v>
      </c>
      <c r="U6" s="2" t="s">
        <v>10</v>
      </c>
      <c r="V6" s="2"/>
      <c r="W6" s="2"/>
      <c r="X6" s="21"/>
      <c r="Y6" s="7" t="s">
        <v>35</v>
      </c>
      <c r="Z6" s="2"/>
    </row>
    <row r="7" ht="15.0" customHeight="1">
      <c r="A7" s="25" t="s">
        <v>36</v>
      </c>
      <c r="B7" s="26"/>
      <c r="C7" s="26"/>
      <c r="D7" s="26"/>
      <c r="E7" s="26"/>
      <c r="F7" s="26"/>
      <c r="G7" s="26"/>
      <c r="H7" s="26"/>
      <c r="I7" s="26"/>
      <c r="J7" s="26"/>
      <c r="K7" s="26"/>
      <c r="L7" s="27"/>
      <c r="M7" s="2"/>
      <c r="N7" s="2"/>
      <c r="O7" s="14"/>
      <c r="P7" s="20"/>
      <c r="Q7" s="16"/>
      <c r="R7" s="14"/>
      <c r="S7" s="12"/>
      <c r="T7" s="2"/>
      <c r="U7" s="2"/>
      <c r="V7" s="2"/>
      <c r="W7" s="2"/>
      <c r="X7" s="21"/>
      <c r="Y7" s="7"/>
      <c r="Z7" s="2"/>
    </row>
    <row r="8" ht="15.0" customHeight="1">
      <c r="A8" s="28"/>
      <c r="B8" s="29"/>
      <c r="C8" s="29"/>
      <c r="D8" s="29"/>
      <c r="E8" s="29"/>
      <c r="F8" s="29"/>
      <c r="G8" s="29"/>
      <c r="H8" s="29"/>
      <c r="I8" s="29"/>
      <c r="J8" s="29"/>
      <c r="K8" s="29"/>
      <c r="L8" s="30"/>
      <c r="M8" s="2"/>
      <c r="N8" s="2"/>
      <c r="O8" s="14"/>
      <c r="P8" s="20"/>
      <c r="Q8" s="16"/>
      <c r="R8" s="14"/>
      <c r="S8" s="12"/>
      <c r="T8" s="2"/>
      <c r="U8" s="2"/>
      <c r="V8" s="2"/>
      <c r="W8" s="2"/>
      <c r="X8" s="21"/>
      <c r="Y8" s="7"/>
      <c r="Z8" s="2"/>
    </row>
    <row r="9" ht="15.0" customHeight="1">
      <c r="A9" s="31"/>
      <c r="B9" s="31"/>
      <c r="C9" s="31"/>
      <c r="D9" s="31"/>
      <c r="E9" s="31"/>
      <c r="F9" s="31"/>
      <c r="G9" s="31"/>
      <c r="H9" s="31"/>
      <c r="I9" s="31"/>
      <c r="J9" s="31"/>
      <c r="K9" s="31"/>
      <c r="L9" s="31"/>
      <c r="M9" s="2"/>
      <c r="N9" s="2"/>
      <c r="O9" s="14"/>
      <c r="P9" s="20"/>
      <c r="Q9" s="16"/>
      <c r="R9" s="14"/>
      <c r="S9" s="12"/>
      <c r="T9" s="2"/>
      <c r="U9" s="2"/>
      <c r="V9" s="2"/>
      <c r="W9" s="2"/>
      <c r="X9" s="21"/>
      <c r="Y9" s="7"/>
      <c r="Z9" s="2"/>
    </row>
    <row r="10" ht="12.75" customHeight="1">
      <c r="A10" s="32"/>
      <c r="B10" s="32"/>
      <c r="C10" s="32"/>
      <c r="D10" s="32"/>
      <c r="E10" s="32"/>
      <c r="F10" s="32"/>
      <c r="G10" s="32"/>
      <c r="H10" s="32"/>
      <c r="I10" s="33"/>
      <c r="J10" s="34" t="s">
        <v>37</v>
      </c>
      <c r="K10" s="34" t="s">
        <v>38</v>
      </c>
      <c r="L10" s="34" t="s">
        <v>39</v>
      </c>
      <c r="M10" s="2"/>
      <c r="N10" s="2"/>
      <c r="O10" s="14">
        <v>2513.0</v>
      </c>
      <c r="P10" s="20" t="s">
        <v>40</v>
      </c>
      <c r="Q10" s="16" t="s">
        <v>10</v>
      </c>
      <c r="R10" s="14">
        <v>2513.0</v>
      </c>
      <c r="S10" s="12" t="s">
        <v>41</v>
      </c>
      <c r="T10" s="2" t="s">
        <v>42</v>
      </c>
      <c r="U10" s="2" t="s">
        <v>10</v>
      </c>
      <c r="V10" s="2"/>
      <c r="W10" s="2"/>
      <c r="X10" s="21"/>
      <c r="Y10" s="7" t="s">
        <v>43</v>
      </c>
      <c r="Z10" s="2"/>
    </row>
    <row r="11" ht="14.25" customHeight="1">
      <c r="A11" s="32"/>
      <c r="B11" s="32"/>
      <c r="C11" s="32"/>
      <c r="D11" s="32"/>
      <c r="E11" s="35" t="s">
        <v>44</v>
      </c>
      <c r="I11" s="36"/>
      <c r="J11" s="37">
        <v>17.0</v>
      </c>
      <c r="K11" s="37">
        <v>9.0</v>
      </c>
      <c r="L11" s="37">
        <v>2026.0</v>
      </c>
      <c r="M11" s="2"/>
      <c r="N11" s="2"/>
      <c r="O11" s="14">
        <v>2538.0</v>
      </c>
      <c r="P11" s="20" t="s">
        <v>45</v>
      </c>
      <c r="Q11" s="16" t="s">
        <v>10</v>
      </c>
      <c r="R11" s="14">
        <v>2538.0</v>
      </c>
      <c r="S11" s="12" t="s">
        <v>46</v>
      </c>
      <c r="T11" s="2" t="s">
        <v>47</v>
      </c>
      <c r="U11" s="2" t="s">
        <v>10</v>
      </c>
      <c r="V11" s="2"/>
      <c r="W11" s="2"/>
      <c r="X11" s="21"/>
      <c r="Y11" s="7" t="s">
        <v>48</v>
      </c>
      <c r="Z11" s="2"/>
    </row>
    <row r="12" ht="14.25" customHeight="1">
      <c r="A12" s="32"/>
      <c r="B12" s="32"/>
      <c r="C12" s="32"/>
      <c r="D12" s="32"/>
      <c r="E12" s="35"/>
      <c r="F12" s="35"/>
      <c r="G12" s="35"/>
      <c r="H12" s="35"/>
      <c r="I12" s="35"/>
      <c r="J12" s="38"/>
      <c r="K12" s="38"/>
      <c r="L12" s="38"/>
      <c r="M12" s="2"/>
      <c r="N12" s="2"/>
      <c r="O12" s="14"/>
      <c r="P12" s="20"/>
      <c r="Q12" s="16"/>
      <c r="R12" s="14"/>
      <c r="S12" s="12"/>
      <c r="T12" s="2"/>
      <c r="U12" s="2"/>
      <c r="V12" s="2"/>
      <c r="W12" s="2"/>
      <c r="X12" s="21"/>
      <c r="Y12" s="7"/>
      <c r="Z12" s="2"/>
    </row>
    <row r="13" ht="17.25" customHeight="1">
      <c r="A13" s="39" t="s">
        <v>49</v>
      </c>
      <c r="B13" s="40"/>
      <c r="C13" s="40"/>
      <c r="D13" s="40"/>
      <c r="E13" s="41"/>
      <c r="F13" s="40"/>
      <c r="G13" s="40"/>
      <c r="H13" s="40"/>
      <c r="I13" s="40"/>
      <c r="J13" s="40"/>
      <c r="K13" s="40"/>
      <c r="L13" s="42"/>
      <c r="M13" s="2"/>
      <c r="N13" s="2"/>
      <c r="O13" s="14">
        <v>2521.0</v>
      </c>
      <c r="P13" s="20" t="s">
        <v>50</v>
      </c>
      <c r="Q13" s="16" t="s">
        <v>10</v>
      </c>
      <c r="R13" s="14">
        <v>2521.0</v>
      </c>
      <c r="S13" s="12"/>
      <c r="T13" s="2" t="s">
        <v>51</v>
      </c>
      <c r="U13" s="2" t="s">
        <v>10</v>
      </c>
      <c r="V13" s="2"/>
      <c r="W13" s="2"/>
      <c r="X13" s="13"/>
      <c r="Y13" s="7" t="s">
        <v>52</v>
      </c>
      <c r="Z13" s="2"/>
    </row>
    <row r="14" ht="17.25" customHeight="1">
      <c r="A14" s="43"/>
      <c r="B14" s="43"/>
      <c r="C14" s="43"/>
      <c r="D14" s="43"/>
      <c r="E14" s="44"/>
      <c r="F14" s="44"/>
      <c r="G14" s="44"/>
      <c r="H14" s="44"/>
      <c r="I14" s="44"/>
      <c r="J14" s="44"/>
      <c r="K14" s="44"/>
      <c r="L14" s="44"/>
      <c r="M14" s="2"/>
      <c r="N14" s="2"/>
      <c r="O14" s="14"/>
      <c r="P14" s="20"/>
      <c r="Q14" s="16"/>
      <c r="R14" s="14"/>
      <c r="S14" s="12"/>
      <c r="T14" s="2"/>
      <c r="U14" s="2"/>
      <c r="V14" s="2"/>
      <c r="W14" s="2"/>
      <c r="X14" s="45"/>
      <c r="Y14" s="7"/>
      <c r="Z14" s="2"/>
    </row>
    <row r="15" ht="15.0" customHeight="1">
      <c r="A15" s="46" t="s">
        <v>53</v>
      </c>
      <c r="B15" s="47"/>
      <c r="C15" s="47"/>
      <c r="D15" s="47"/>
      <c r="E15" s="48"/>
      <c r="F15" s="49"/>
      <c r="G15" s="47"/>
      <c r="H15" s="47"/>
      <c r="I15" s="48"/>
      <c r="J15" s="49"/>
      <c r="K15" s="47"/>
      <c r="L15" s="50"/>
      <c r="M15" s="2"/>
      <c r="N15" s="2"/>
      <c r="O15" s="14">
        <v>2509.0</v>
      </c>
      <c r="P15" s="20" t="s">
        <v>54</v>
      </c>
      <c r="Q15" s="16" t="s">
        <v>10</v>
      </c>
      <c r="R15" s="14">
        <v>2509.0</v>
      </c>
      <c r="S15" s="2"/>
      <c r="T15" s="2" t="s">
        <v>55</v>
      </c>
      <c r="U15" s="2" t="s">
        <v>10</v>
      </c>
      <c r="V15" s="2"/>
      <c r="W15" s="2"/>
      <c r="X15" s="6" t="s">
        <v>56</v>
      </c>
      <c r="Y15" s="7" t="s">
        <v>57</v>
      </c>
      <c r="Z15" s="2"/>
    </row>
    <row r="16" ht="15.0" customHeight="1">
      <c r="A16" s="51" t="s">
        <v>58</v>
      </c>
      <c r="B16" s="40"/>
      <c r="C16" s="40"/>
      <c r="D16" s="40"/>
      <c r="E16" s="42"/>
      <c r="F16" s="52"/>
      <c r="G16" s="40"/>
      <c r="H16" s="40"/>
      <c r="I16" s="40"/>
      <c r="J16" s="40"/>
      <c r="K16" s="40"/>
      <c r="L16" s="53"/>
      <c r="M16" s="2"/>
      <c r="N16" s="2"/>
      <c r="O16" s="14">
        <v>2510.0</v>
      </c>
      <c r="P16" s="20" t="s">
        <v>59</v>
      </c>
      <c r="Q16" s="16" t="s">
        <v>10</v>
      </c>
      <c r="R16" s="14">
        <v>2510.0</v>
      </c>
      <c r="S16" s="2"/>
      <c r="T16" s="2" t="s">
        <v>60</v>
      </c>
      <c r="U16" s="2" t="s">
        <v>61</v>
      </c>
      <c r="V16" s="2"/>
      <c r="W16" s="2"/>
      <c r="X16" s="21"/>
      <c r="Y16" s="7" t="s">
        <v>62</v>
      </c>
      <c r="Z16" s="2"/>
    </row>
    <row r="17" ht="15.0" customHeight="1">
      <c r="A17" s="51" t="s">
        <v>63</v>
      </c>
      <c r="B17" s="40"/>
      <c r="C17" s="40"/>
      <c r="D17" s="40"/>
      <c r="E17" s="42"/>
      <c r="F17" s="52" t="s">
        <v>64</v>
      </c>
      <c r="G17" s="40"/>
      <c r="H17" s="40"/>
      <c r="I17" s="40"/>
      <c r="J17" s="40"/>
      <c r="K17" s="40"/>
      <c r="L17" s="53"/>
      <c r="M17" s="2"/>
      <c r="N17" s="2"/>
      <c r="O17" s="14">
        <v>2522.0</v>
      </c>
      <c r="P17" s="20" t="s">
        <v>65</v>
      </c>
      <c r="Q17" s="16" t="s">
        <v>10</v>
      </c>
      <c r="R17" s="14">
        <v>2522.0</v>
      </c>
      <c r="S17" s="2"/>
      <c r="T17" s="2" t="s">
        <v>66</v>
      </c>
      <c r="U17" s="2" t="s">
        <v>61</v>
      </c>
      <c r="V17" s="2"/>
      <c r="W17" s="2"/>
      <c r="X17" s="21"/>
      <c r="Y17" s="7" t="s">
        <v>67</v>
      </c>
      <c r="Z17" s="2"/>
    </row>
    <row r="18" ht="15.0" customHeight="1">
      <c r="A18" s="51" t="s">
        <v>68</v>
      </c>
      <c r="B18" s="40"/>
      <c r="C18" s="40"/>
      <c r="D18" s="40"/>
      <c r="E18" s="42"/>
      <c r="F18" s="52" t="s">
        <v>69</v>
      </c>
      <c r="G18" s="40"/>
      <c r="H18" s="40"/>
      <c r="I18" s="40"/>
      <c r="J18" s="40"/>
      <c r="K18" s="40"/>
      <c r="L18" s="53"/>
      <c r="M18" s="2"/>
      <c r="N18" s="2"/>
      <c r="O18" s="14">
        <v>2540.0</v>
      </c>
      <c r="P18" s="20" t="s">
        <v>70</v>
      </c>
      <c r="Q18" s="16" t="s">
        <v>10</v>
      </c>
      <c r="R18" s="14">
        <v>2540.0</v>
      </c>
      <c r="S18" s="2"/>
      <c r="T18" s="2" t="s">
        <v>71</v>
      </c>
      <c r="U18" s="2" t="s">
        <v>61</v>
      </c>
      <c r="V18" s="2"/>
      <c r="W18" s="2"/>
      <c r="X18" s="21"/>
      <c r="Y18" s="7" t="s">
        <v>72</v>
      </c>
      <c r="Z18" s="2"/>
    </row>
    <row r="19" ht="15.0" customHeight="1">
      <c r="A19" s="51" t="s">
        <v>73</v>
      </c>
      <c r="B19" s="40"/>
      <c r="C19" s="40"/>
      <c r="D19" s="40"/>
      <c r="E19" s="42"/>
      <c r="F19" s="52" t="s">
        <v>74</v>
      </c>
      <c r="G19" s="40"/>
      <c r="H19" s="40"/>
      <c r="I19" s="40"/>
      <c r="J19" s="40"/>
      <c r="K19" s="40"/>
      <c r="L19" s="53"/>
      <c r="M19" s="2"/>
      <c r="N19" s="2"/>
      <c r="O19" s="14">
        <v>2526.0</v>
      </c>
      <c r="P19" s="20" t="s">
        <v>75</v>
      </c>
      <c r="Q19" s="16" t="s">
        <v>10</v>
      </c>
      <c r="R19" s="14">
        <v>2526.0</v>
      </c>
      <c r="S19" s="2"/>
      <c r="T19" s="2" t="s">
        <v>76</v>
      </c>
      <c r="U19" s="2" t="s">
        <v>69</v>
      </c>
      <c r="V19" s="2"/>
      <c r="W19" s="2"/>
      <c r="X19" s="21"/>
      <c r="Y19" s="7" t="s">
        <v>77</v>
      </c>
      <c r="Z19" s="2"/>
    </row>
    <row r="20" ht="15.0" customHeight="1">
      <c r="A20" s="54" t="s">
        <v>78</v>
      </c>
      <c r="B20" s="55"/>
      <c r="C20" s="55"/>
      <c r="D20" s="55"/>
      <c r="E20" s="56"/>
      <c r="F20" s="57" t="s">
        <v>79</v>
      </c>
      <c r="G20" s="55"/>
      <c r="H20" s="55"/>
      <c r="I20" s="55"/>
      <c r="J20" s="55"/>
      <c r="K20" s="55"/>
      <c r="L20" s="58"/>
      <c r="M20" s="2"/>
      <c r="N20" s="2"/>
      <c r="O20" s="14">
        <v>2514.0</v>
      </c>
      <c r="P20" s="20" t="s">
        <v>80</v>
      </c>
      <c r="Q20" s="16" t="s">
        <v>10</v>
      </c>
      <c r="R20" s="14">
        <v>2514.0</v>
      </c>
      <c r="S20" s="2"/>
      <c r="T20" s="2" t="s">
        <v>81</v>
      </c>
      <c r="U20" s="2" t="s">
        <v>69</v>
      </c>
      <c r="V20" s="2"/>
      <c r="W20" s="2"/>
      <c r="X20" s="21"/>
      <c r="Y20" s="7" t="s">
        <v>82</v>
      </c>
      <c r="Z20" s="2"/>
    </row>
    <row r="21" ht="15.0" customHeight="1">
      <c r="A21" s="59"/>
      <c r="B21" s="59"/>
      <c r="C21" s="59"/>
      <c r="D21" s="59"/>
      <c r="E21" s="59"/>
      <c r="F21" s="59"/>
      <c r="G21" s="59"/>
      <c r="H21" s="59"/>
      <c r="I21" s="59"/>
      <c r="J21" s="59"/>
      <c r="K21" s="59"/>
      <c r="L21" s="59"/>
      <c r="M21" s="2"/>
      <c r="N21" s="2"/>
      <c r="O21" s="14">
        <v>2534.0</v>
      </c>
      <c r="P21" s="20" t="s">
        <v>83</v>
      </c>
      <c r="Q21" s="16" t="s">
        <v>10</v>
      </c>
      <c r="R21" s="14">
        <v>2534.0</v>
      </c>
      <c r="S21" s="2"/>
      <c r="T21" s="2" t="s">
        <v>84</v>
      </c>
      <c r="U21" s="2" t="s">
        <v>69</v>
      </c>
      <c r="V21" s="2"/>
      <c r="W21" s="2"/>
      <c r="X21" s="21"/>
      <c r="Y21" s="7" t="s">
        <v>85</v>
      </c>
      <c r="Z21" s="2"/>
    </row>
    <row r="22" ht="15.0" customHeight="1">
      <c r="A22" s="60" t="s">
        <v>86</v>
      </c>
      <c r="B22" s="23"/>
      <c r="C22" s="23"/>
      <c r="D22" s="23"/>
      <c r="E22" s="23"/>
      <c r="F22" s="24"/>
      <c r="G22" s="32"/>
      <c r="H22" s="46" t="s">
        <v>87</v>
      </c>
      <c r="I22" s="47"/>
      <c r="J22" s="47"/>
      <c r="K22" s="47"/>
      <c r="L22" s="50"/>
      <c r="M22" s="2"/>
      <c r="N22" s="2"/>
      <c r="O22" s="14">
        <v>2515.0</v>
      </c>
      <c r="P22" s="20" t="s">
        <v>88</v>
      </c>
      <c r="Q22" s="16" t="s">
        <v>10</v>
      </c>
      <c r="R22" s="14">
        <v>2515.0</v>
      </c>
      <c r="S22" s="2"/>
      <c r="T22" s="2" t="s">
        <v>89</v>
      </c>
      <c r="U22" s="2" t="s">
        <v>69</v>
      </c>
      <c r="V22" s="2"/>
      <c r="W22" s="2"/>
      <c r="X22" s="21"/>
      <c r="Y22" s="7" t="s">
        <v>90</v>
      </c>
      <c r="Z22" s="2"/>
    </row>
    <row r="23" ht="15.0" customHeight="1">
      <c r="A23" s="61" t="s">
        <v>91</v>
      </c>
      <c r="B23" s="23"/>
      <c r="C23" s="24"/>
      <c r="D23" s="61" t="s">
        <v>92</v>
      </c>
      <c r="E23" s="24"/>
      <c r="F23" s="62" t="s">
        <v>93</v>
      </c>
      <c r="G23" s="32"/>
      <c r="H23" s="63" t="s">
        <v>94</v>
      </c>
      <c r="I23" s="64"/>
      <c r="J23" s="64"/>
      <c r="K23" s="64"/>
      <c r="L23" s="65"/>
      <c r="M23" s="2"/>
      <c r="N23" s="2"/>
      <c r="O23" s="14">
        <v>2524.0</v>
      </c>
      <c r="P23" s="20" t="s">
        <v>95</v>
      </c>
      <c r="Q23" s="16" t="s">
        <v>10</v>
      </c>
      <c r="R23" s="14">
        <v>2524.0</v>
      </c>
      <c r="S23" s="2"/>
      <c r="T23" s="2" t="s">
        <v>96</v>
      </c>
      <c r="U23" s="2" t="s">
        <v>69</v>
      </c>
      <c r="V23" s="2"/>
      <c r="W23" s="2"/>
      <c r="X23" s="21"/>
      <c r="Y23" s="7" t="s">
        <v>97</v>
      </c>
      <c r="Z23" s="2"/>
    </row>
    <row r="24" ht="28.5" customHeight="1">
      <c r="A24" s="66" t="s">
        <v>98</v>
      </c>
      <c r="B24" s="66" t="s">
        <v>99</v>
      </c>
      <c r="C24" s="66" t="s">
        <v>100</v>
      </c>
      <c r="D24" s="66" t="s">
        <v>101</v>
      </c>
      <c r="E24" s="66" t="s">
        <v>102</v>
      </c>
      <c r="F24" s="66" t="s">
        <v>103</v>
      </c>
      <c r="G24" s="67"/>
      <c r="H24" s="68"/>
      <c r="L24" s="36"/>
      <c r="M24" s="1"/>
      <c r="N24" s="1"/>
      <c r="O24" s="14">
        <v>2525.0</v>
      </c>
      <c r="P24" s="69" t="s">
        <v>104</v>
      </c>
      <c r="Q24" s="70" t="s">
        <v>10</v>
      </c>
      <c r="R24" s="14">
        <v>2525.0</v>
      </c>
      <c r="S24" s="1"/>
      <c r="T24" s="1" t="s">
        <v>105</v>
      </c>
      <c r="U24" s="1" t="s">
        <v>106</v>
      </c>
      <c r="V24" s="1"/>
      <c r="W24" s="1"/>
      <c r="X24" s="21"/>
      <c r="Y24" s="69" t="s">
        <v>107</v>
      </c>
      <c r="Z24" s="1"/>
    </row>
    <row r="25" ht="21.0" customHeight="1">
      <c r="A25" s="71">
        <v>4.0</v>
      </c>
      <c r="B25" s="72">
        <v>6.0</v>
      </c>
      <c r="C25" s="73" t="str">
        <f>+A25+B25</f>
        <v>10</v>
      </c>
      <c r="D25" s="72">
        <v>16.0</v>
      </c>
      <c r="E25" s="73" t="str">
        <f>+C25*D25</f>
        <v>160</v>
      </c>
      <c r="F25" s="74" t="str">
        <f>+E25/48</f>
        <v>3</v>
      </c>
      <c r="G25" s="32"/>
      <c r="H25" s="75" t="s">
        <v>108</v>
      </c>
      <c r="I25" s="76"/>
      <c r="J25" s="76"/>
      <c r="K25" s="76"/>
      <c r="L25" s="77"/>
      <c r="M25" s="2"/>
      <c r="N25" s="2"/>
      <c r="O25" s="14">
        <v>2527.0</v>
      </c>
      <c r="P25" s="20" t="s">
        <v>109</v>
      </c>
      <c r="Q25" s="16" t="s">
        <v>10</v>
      </c>
      <c r="R25" s="14">
        <v>2527.0</v>
      </c>
      <c r="S25" s="2"/>
      <c r="T25" s="2" t="s">
        <v>110</v>
      </c>
      <c r="U25" s="2" t="s">
        <v>106</v>
      </c>
      <c r="V25" s="2"/>
      <c r="W25" s="2"/>
      <c r="X25" s="13"/>
      <c r="Y25" s="7" t="s">
        <v>111</v>
      </c>
      <c r="Z25" s="2"/>
    </row>
    <row r="26" ht="15.0" customHeight="1">
      <c r="A26" s="32"/>
      <c r="B26" s="32"/>
      <c r="C26" s="32"/>
      <c r="D26" s="32"/>
      <c r="E26" s="32"/>
      <c r="F26" s="32"/>
      <c r="G26" s="32"/>
      <c r="H26" s="32"/>
      <c r="I26" s="32"/>
      <c r="J26" s="32"/>
      <c r="K26" s="32"/>
      <c r="L26" s="78"/>
      <c r="M26" s="2"/>
      <c r="N26" s="2"/>
      <c r="O26" s="14">
        <v>2528.0</v>
      </c>
      <c r="P26" s="20" t="s">
        <v>112</v>
      </c>
      <c r="Q26" s="16" t="s">
        <v>10</v>
      </c>
      <c r="R26" s="14">
        <v>2528.0</v>
      </c>
      <c r="S26" s="2"/>
      <c r="T26" s="2"/>
      <c r="U26" s="2"/>
      <c r="V26" s="2"/>
      <c r="W26" s="2"/>
      <c r="X26" s="79" t="s">
        <v>113</v>
      </c>
      <c r="Y26" s="7" t="s">
        <v>114</v>
      </c>
      <c r="Z26" s="2"/>
    </row>
    <row r="27" ht="15.0" customHeight="1">
      <c r="A27" s="46" t="s">
        <v>115</v>
      </c>
      <c r="B27" s="47"/>
      <c r="C27" s="47"/>
      <c r="D27" s="47"/>
      <c r="E27" s="47"/>
      <c r="F27" s="47"/>
      <c r="G27" s="47"/>
      <c r="H27" s="47"/>
      <c r="I27" s="47"/>
      <c r="J27" s="47"/>
      <c r="K27" s="47"/>
      <c r="L27" s="50"/>
      <c r="M27" s="2"/>
      <c r="N27" s="2"/>
      <c r="O27" s="14">
        <v>2530.0</v>
      </c>
      <c r="P27" s="20" t="s">
        <v>116</v>
      </c>
      <c r="Q27" s="16" t="s">
        <v>10</v>
      </c>
      <c r="R27" s="14">
        <v>2530.0</v>
      </c>
      <c r="S27" s="2"/>
      <c r="T27" s="2"/>
      <c r="U27" s="2"/>
      <c r="V27" s="2"/>
      <c r="W27" s="2"/>
      <c r="X27" s="21"/>
      <c r="Y27" s="7" t="s">
        <v>117</v>
      </c>
      <c r="Z27" s="2"/>
    </row>
    <row r="28" ht="30.0" customHeight="1">
      <c r="A28" s="80">
        <v>80.0</v>
      </c>
      <c r="B28" s="81" t="s">
        <v>118</v>
      </c>
      <c r="C28" s="82" t="s">
        <v>119</v>
      </c>
      <c r="D28" s="76"/>
      <c r="E28" s="76"/>
      <c r="F28" s="83"/>
      <c r="G28" s="84" t="str">
        <f>+A25*D25</f>
        <v>64</v>
      </c>
      <c r="H28" s="82" t="s">
        <v>120</v>
      </c>
      <c r="I28" s="76"/>
      <c r="J28" s="76"/>
      <c r="K28" s="83"/>
      <c r="L28" s="85" t="str">
        <f>+A28*G28/100</f>
        <v>51</v>
      </c>
      <c r="M28" s="86"/>
      <c r="N28" s="86"/>
      <c r="O28" s="87">
        <v>2516.0</v>
      </c>
      <c r="P28" s="88" t="s">
        <v>121</v>
      </c>
      <c r="Q28" s="89" t="s">
        <v>10</v>
      </c>
      <c r="R28" s="87">
        <v>2516.0</v>
      </c>
      <c r="S28" s="86"/>
      <c r="T28" s="86"/>
      <c r="U28" s="86"/>
      <c r="V28" s="86"/>
      <c r="W28" s="86"/>
      <c r="X28" s="13"/>
      <c r="Y28" s="88" t="s">
        <v>122</v>
      </c>
      <c r="Z28" s="86"/>
    </row>
    <row r="29" ht="15.0" customHeight="1">
      <c r="A29" s="32"/>
      <c r="B29" s="32"/>
      <c r="C29" s="32"/>
      <c r="D29" s="32"/>
      <c r="E29" s="32"/>
      <c r="F29" s="32"/>
      <c r="G29" s="32"/>
      <c r="H29" s="32"/>
      <c r="I29" s="32"/>
      <c r="J29" s="32"/>
      <c r="K29" s="32"/>
      <c r="L29" s="32"/>
      <c r="M29" s="2"/>
      <c r="N29" s="2"/>
      <c r="O29" s="14">
        <v>2550.0</v>
      </c>
      <c r="P29" s="20" t="s">
        <v>123</v>
      </c>
      <c r="Q29" s="16" t="s">
        <v>10</v>
      </c>
      <c r="R29" s="14">
        <v>2550.0</v>
      </c>
      <c r="S29" s="2"/>
      <c r="T29" s="2"/>
      <c r="U29" s="2"/>
      <c r="V29" s="2"/>
      <c r="W29" s="2"/>
      <c r="X29" s="6" t="s">
        <v>124</v>
      </c>
      <c r="Y29" s="7" t="s">
        <v>125</v>
      </c>
      <c r="Z29" s="2"/>
    </row>
    <row r="30" ht="15.0" customHeight="1">
      <c r="A30" s="46" t="s">
        <v>126</v>
      </c>
      <c r="B30" s="47"/>
      <c r="C30" s="47"/>
      <c r="D30" s="47"/>
      <c r="E30" s="47"/>
      <c r="F30" s="47"/>
      <c r="G30" s="47"/>
      <c r="H30" s="47"/>
      <c r="I30" s="47"/>
      <c r="J30" s="47"/>
      <c r="K30" s="47"/>
      <c r="L30" s="50"/>
      <c r="M30" s="2"/>
      <c r="N30" s="2"/>
      <c r="O30" s="14">
        <v>2551.0</v>
      </c>
      <c r="P30" s="20" t="s">
        <v>127</v>
      </c>
      <c r="Q30" s="16" t="s">
        <v>10</v>
      </c>
      <c r="R30" s="14">
        <v>2551.0</v>
      </c>
      <c r="S30" s="2"/>
      <c r="T30" s="2"/>
      <c r="U30" s="2"/>
      <c r="V30" s="2"/>
      <c r="W30" s="2"/>
      <c r="X30" s="21"/>
      <c r="Y30" s="7" t="s">
        <v>128</v>
      </c>
      <c r="Z30" s="2"/>
    </row>
    <row r="31" ht="15.0" customHeight="1">
      <c r="A31" s="90" t="s">
        <v>129</v>
      </c>
      <c r="B31" s="91" t="s">
        <v>130</v>
      </c>
      <c r="C31" s="40"/>
      <c r="D31" s="40"/>
      <c r="E31" s="40"/>
      <c r="F31" s="40"/>
      <c r="G31" s="40"/>
      <c r="H31" s="40"/>
      <c r="I31" s="40"/>
      <c r="J31" s="42"/>
      <c r="K31" s="91" t="s">
        <v>131</v>
      </c>
      <c r="L31" s="53"/>
      <c r="M31" s="2"/>
      <c r="N31" s="2"/>
      <c r="O31" s="14">
        <v>2531.0</v>
      </c>
      <c r="P31" s="20" t="s">
        <v>132</v>
      </c>
      <c r="Q31" s="16" t="s">
        <v>10</v>
      </c>
      <c r="R31" s="14">
        <v>2531.0</v>
      </c>
      <c r="S31" s="2"/>
      <c r="T31" s="2" t="s">
        <v>133</v>
      </c>
      <c r="U31" s="2" t="s">
        <v>134</v>
      </c>
      <c r="V31" s="2" t="s">
        <v>135</v>
      </c>
      <c r="W31" s="2"/>
      <c r="X31" s="21"/>
      <c r="Y31" s="7" t="s">
        <v>136</v>
      </c>
      <c r="Z31" s="2"/>
    </row>
    <row r="32" ht="15.0" customHeight="1">
      <c r="A32" s="92"/>
      <c r="B32" s="93"/>
      <c r="C32" s="40"/>
      <c r="D32" s="40"/>
      <c r="E32" s="40"/>
      <c r="F32" s="40"/>
      <c r="G32" s="40"/>
      <c r="H32" s="40"/>
      <c r="I32" s="40"/>
      <c r="J32" s="42"/>
      <c r="K32" s="94"/>
      <c r="L32" s="95"/>
      <c r="M32" s="2"/>
      <c r="N32" s="2"/>
      <c r="O32" s="14">
        <v>2517.0</v>
      </c>
      <c r="P32" s="20" t="s">
        <v>137</v>
      </c>
      <c r="Q32" s="16" t="s">
        <v>10</v>
      </c>
      <c r="R32" s="14">
        <v>2517.0</v>
      </c>
      <c r="S32" s="2"/>
      <c r="T32" s="2">
        <v>1.0</v>
      </c>
      <c r="U32" s="2" t="s">
        <v>138</v>
      </c>
      <c r="V32" s="2">
        <v>2011.0</v>
      </c>
      <c r="W32" s="2"/>
      <c r="X32" s="21"/>
      <c r="Y32" s="7" t="s">
        <v>139</v>
      </c>
      <c r="Z32" s="2"/>
    </row>
    <row r="33" ht="15.0" customHeight="1">
      <c r="A33" s="96"/>
      <c r="B33" s="97"/>
      <c r="C33" s="55"/>
      <c r="D33" s="55"/>
      <c r="E33" s="55"/>
      <c r="F33" s="55"/>
      <c r="G33" s="55"/>
      <c r="H33" s="55"/>
      <c r="I33" s="55"/>
      <c r="J33" s="56"/>
      <c r="K33" s="98"/>
      <c r="L33" s="58"/>
      <c r="M33" s="2"/>
      <c r="N33" s="2"/>
      <c r="O33" s="14">
        <v>2543.0</v>
      </c>
      <c r="P33" s="20" t="s">
        <v>140</v>
      </c>
      <c r="Q33" s="16" t="s">
        <v>10</v>
      </c>
      <c r="R33" s="14">
        <v>2543.0</v>
      </c>
      <c r="S33" s="2"/>
      <c r="T33" s="2">
        <v>6.0</v>
      </c>
      <c r="U33" s="2" t="s">
        <v>141</v>
      </c>
      <c r="V33" s="2"/>
      <c r="W33" s="2"/>
      <c r="X33" s="21"/>
      <c r="Y33" s="7" t="s">
        <v>142</v>
      </c>
      <c r="Z33" s="2"/>
    </row>
    <row r="34" ht="15.0" customHeight="1">
      <c r="A34" s="99"/>
      <c r="B34" s="99"/>
      <c r="C34" s="99"/>
      <c r="D34" s="99"/>
      <c r="E34" s="99"/>
      <c r="F34" s="99"/>
      <c r="G34" s="99"/>
      <c r="H34" s="99"/>
      <c r="I34" s="99"/>
      <c r="J34" s="99"/>
      <c r="K34" s="99"/>
      <c r="L34" s="99"/>
      <c r="M34" s="2"/>
      <c r="N34" s="2"/>
      <c r="O34" s="14">
        <v>2544.0</v>
      </c>
      <c r="P34" s="20" t="s">
        <v>143</v>
      </c>
      <c r="Q34" s="16" t="s">
        <v>10</v>
      </c>
      <c r="R34" s="14">
        <v>2544.0</v>
      </c>
      <c r="S34" s="2"/>
      <c r="T34" s="2">
        <v>7.0</v>
      </c>
      <c r="U34" s="2" t="s">
        <v>144</v>
      </c>
      <c r="V34" s="2"/>
      <c r="W34" s="2"/>
      <c r="X34" s="21"/>
      <c r="Y34" s="7" t="s">
        <v>145</v>
      </c>
      <c r="Z34" s="2"/>
    </row>
    <row r="35" ht="15.0" customHeight="1">
      <c r="A35" s="46" t="s">
        <v>146</v>
      </c>
      <c r="B35" s="47"/>
      <c r="C35" s="47"/>
      <c r="D35" s="47"/>
      <c r="E35" s="47"/>
      <c r="F35" s="47"/>
      <c r="G35" s="47"/>
      <c r="H35" s="47"/>
      <c r="I35" s="47"/>
      <c r="J35" s="47"/>
      <c r="K35" s="47"/>
      <c r="L35" s="50"/>
      <c r="M35" s="2"/>
      <c r="N35" s="2"/>
      <c r="O35" s="14">
        <v>2545.0</v>
      </c>
      <c r="P35" s="20" t="s">
        <v>147</v>
      </c>
      <c r="Q35" s="16" t="s">
        <v>10</v>
      </c>
      <c r="R35" s="14">
        <v>2545.0</v>
      </c>
      <c r="S35" s="2"/>
      <c r="T35" s="2">
        <v>8.0</v>
      </c>
      <c r="U35" s="2" t="s">
        <v>148</v>
      </c>
      <c r="V35" s="2"/>
      <c r="W35" s="2"/>
      <c r="X35" s="21"/>
      <c r="Y35" s="7" t="s">
        <v>149</v>
      </c>
      <c r="Z35" s="2"/>
    </row>
    <row r="36" ht="28.5" customHeight="1">
      <c r="A36" s="90" t="s">
        <v>150</v>
      </c>
      <c r="B36" s="91" t="s">
        <v>151</v>
      </c>
      <c r="C36" s="40"/>
      <c r="D36" s="42"/>
      <c r="E36" s="100" t="s">
        <v>4</v>
      </c>
      <c r="F36" s="91" t="s">
        <v>152</v>
      </c>
      <c r="G36" s="40"/>
      <c r="H36" s="40"/>
      <c r="I36" s="40"/>
      <c r="J36" s="42"/>
      <c r="K36" s="91" t="s">
        <v>153</v>
      </c>
      <c r="L36" s="53"/>
      <c r="M36" s="2"/>
      <c r="N36" s="2"/>
      <c r="O36" s="14">
        <v>2546.0</v>
      </c>
      <c r="P36" s="20" t="s">
        <v>154</v>
      </c>
      <c r="Q36" s="16" t="s">
        <v>10</v>
      </c>
      <c r="R36" s="14">
        <v>2546.0</v>
      </c>
      <c r="S36" s="2"/>
      <c r="T36" s="2">
        <v>9.0</v>
      </c>
      <c r="U36" s="2" t="s">
        <v>155</v>
      </c>
      <c r="V36" s="2"/>
      <c r="W36" s="2"/>
      <c r="X36" s="21"/>
      <c r="Y36" s="7" t="s">
        <v>156</v>
      </c>
      <c r="Z36" s="2"/>
    </row>
    <row r="37" ht="15.0" customHeight="1">
      <c r="A37" s="101"/>
      <c r="B37" s="102"/>
      <c r="C37" s="40"/>
      <c r="D37" s="42"/>
      <c r="E37" s="103"/>
      <c r="F37" s="102"/>
      <c r="G37" s="40"/>
      <c r="H37" s="40"/>
      <c r="I37" s="40"/>
      <c r="J37" s="42"/>
      <c r="K37" s="102"/>
      <c r="L37" s="53"/>
      <c r="M37" s="2"/>
      <c r="N37" s="2"/>
      <c r="O37" s="14">
        <v>2548.0</v>
      </c>
      <c r="P37" s="20" t="s">
        <v>157</v>
      </c>
      <c r="Q37" s="16" t="s">
        <v>10</v>
      </c>
      <c r="R37" s="14">
        <v>2548.0</v>
      </c>
      <c r="S37" s="2"/>
      <c r="T37" s="2">
        <v>11.0</v>
      </c>
      <c r="U37" s="2" t="s">
        <v>158</v>
      </c>
      <c r="V37" s="2"/>
      <c r="W37" s="2"/>
      <c r="X37" s="13"/>
      <c r="Y37" s="7" t="s">
        <v>159</v>
      </c>
      <c r="Z37" s="2"/>
    </row>
    <row r="38" ht="15.0" customHeight="1">
      <c r="A38" s="101" t="str">
        <f>+IF(B38=""," ",VLOOKUP(B38,'Formato Asignatura Pregrado'!$P$3:$R$89,3,FALSE))</f>
        <v> </v>
      </c>
      <c r="B38" s="102"/>
      <c r="C38" s="40"/>
      <c r="D38" s="42"/>
      <c r="E38" s="103"/>
      <c r="F38" s="102"/>
      <c r="G38" s="40"/>
      <c r="H38" s="40"/>
      <c r="I38" s="40"/>
      <c r="J38" s="42"/>
      <c r="K38" s="102"/>
      <c r="L38" s="53"/>
      <c r="M38" s="2"/>
      <c r="N38" s="2"/>
      <c r="O38" s="14">
        <v>2512.0</v>
      </c>
      <c r="P38" s="20" t="s">
        <v>160</v>
      </c>
      <c r="Q38" s="16" t="s">
        <v>10</v>
      </c>
      <c r="R38" s="14">
        <v>2512.0</v>
      </c>
      <c r="S38" s="2"/>
      <c r="T38" s="2">
        <v>18.0</v>
      </c>
      <c r="U38" s="2"/>
      <c r="V38" s="2"/>
      <c r="W38" s="2"/>
      <c r="X38" s="45"/>
      <c r="Y38" s="7" t="s">
        <v>161</v>
      </c>
      <c r="Z38" s="2"/>
    </row>
    <row r="39" ht="15.0" customHeight="1">
      <c r="A39" s="101" t="str">
        <f>+IF(B39=""," ",VLOOKUP(B39,'Formato Asignatura Pregrado'!$P$3:$R$89,3,FALSE))</f>
        <v> </v>
      </c>
      <c r="B39" s="102"/>
      <c r="C39" s="40"/>
      <c r="D39" s="42"/>
      <c r="E39" s="103"/>
      <c r="F39" s="102"/>
      <c r="G39" s="40"/>
      <c r="H39" s="40"/>
      <c r="I39" s="40"/>
      <c r="J39" s="42"/>
      <c r="K39" s="102"/>
      <c r="L39" s="53"/>
      <c r="M39" s="2"/>
      <c r="N39" s="2"/>
      <c r="O39" s="14">
        <v>2553.0</v>
      </c>
      <c r="P39" s="20" t="s">
        <v>162</v>
      </c>
      <c r="Q39" s="16" t="s">
        <v>10</v>
      </c>
      <c r="R39" s="14">
        <v>2553.0</v>
      </c>
      <c r="S39" s="2"/>
      <c r="T39" s="2">
        <v>19.0</v>
      </c>
      <c r="U39" s="2"/>
      <c r="V39" s="2"/>
      <c r="W39" s="2"/>
      <c r="X39" s="6" t="s">
        <v>163</v>
      </c>
      <c r="Y39" s="7" t="s">
        <v>164</v>
      </c>
      <c r="Z39" s="2"/>
    </row>
    <row r="40" ht="15.0" customHeight="1">
      <c r="A40" s="104" t="str">
        <f>+IF(B40=""," ",VLOOKUP(B40,'Formato Asignatura Pregrado'!$P$3:$R$89,3,FALSE))</f>
        <v> </v>
      </c>
      <c r="B40" s="105"/>
      <c r="C40" s="55"/>
      <c r="D40" s="56"/>
      <c r="E40" s="106"/>
      <c r="F40" s="105"/>
      <c r="G40" s="55"/>
      <c r="H40" s="55"/>
      <c r="I40" s="55"/>
      <c r="J40" s="56"/>
      <c r="K40" s="105"/>
      <c r="L40" s="58"/>
      <c r="M40" s="2"/>
      <c r="N40" s="2"/>
      <c r="O40" s="14">
        <v>2557.0</v>
      </c>
      <c r="P40" s="20" t="s">
        <v>165</v>
      </c>
      <c r="Q40" s="16" t="s">
        <v>10</v>
      </c>
      <c r="R40" s="14">
        <v>2557.0</v>
      </c>
      <c r="S40" s="2"/>
      <c r="T40" s="2">
        <v>20.0</v>
      </c>
      <c r="U40" s="2"/>
      <c r="V40" s="2"/>
      <c r="W40" s="2"/>
      <c r="X40" s="13"/>
      <c r="Y40" s="7" t="s">
        <v>166</v>
      </c>
      <c r="Z40" s="2"/>
    </row>
    <row r="41" ht="13.5" customHeight="1">
      <c r="A41" s="32"/>
      <c r="B41" s="32"/>
      <c r="C41" s="32"/>
      <c r="D41" s="32"/>
      <c r="E41" s="32"/>
      <c r="F41" s="32"/>
      <c r="G41" s="32"/>
      <c r="H41" s="32"/>
      <c r="I41" s="32"/>
      <c r="J41" s="32"/>
      <c r="K41" s="32"/>
      <c r="L41" s="32"/>
      <c r="M41" s="2"/>
      <c r="N41" s="2"/>
      <c r="O41" s="14">
        <v>2535.0</v>
      </c>
      <c r="P41" s="20" t="s">
        <v>167</v>
      </c>
      <c r="Q41" s="16" t="s">
        <v>10</v>
      </c>
      <c r="R41" s="14">
        <v>2535.0</v>
      </c>
      <c r="S41" s="2"/>
      <c r="T41" s="2">
        <v>21.0</v>
      </c>
      <c r="U41" s="2"/>
      <c r="V41" s="2"/>
      <c r="W41" s="2"/>
      <c r="X41" s="6" t="s">
        <v>168</v>
      </c>
      <c r="Y41" s="7" t="s">
        <v>169</v>
      </c>
      <c r="Z41" s="2"/>
    </row>
    <row r="42" ht="21.0" customHeight="1">
      <c r="A42" s="107" t="s">
        <v>170</v>
      </c>
      <c r="B42" s="23"/>
      <c r="C42" s="23"/>
      <c r="D42" s="23"/>
      <c r="E42" s="23"/>
      <c r="F42" s="108"/>
      <c r="G42" s="109" t="s">
        <v>171</v>
      </c>
      <c r="H42" s="110"/>
      <c r="I42" s="109" t="s">
        <v>172</v>
      </c>
      <c r="J42" s="110"/>
      <c r="K42" s="109"/>
      <c r="L42" s="111"/>
      <c r="M42" s="2"/>
      <c r="N42" s="2"/>
      <c r="O42" s="14">
        <v>2519.0</v>
      </c>
      <c r="P42" s="20" t="s">
        <v>173</v>
      </c>
      <c r="Q42" s="16" t="s">
        <v>10</v>
      </c>
      <c r="R42" s="14">
        <v>2519.0</v>
      </c>
      <c r="S42" s="2"/>
      <c r="T42" s="2">
        <v>22.0</v>
      </c>
      <c r="U42" s="2"/>
      <c r="V42" s="2"/>
      <c r="W42" s="2"/>
      <c r="X42" s="21"/>
      <c r="Y42" s="7" t="s">
        <v>174</v>
      </c>
      <c r="Z42" s="2"/>
    </row>
    <row r="43" ht="15.0" customHeight="1">
      <c r="A43" s="32"/>
      <c r="B43" s="32"/>
      <c r="C43" s="32"/>
      <c r="D43" s="32"/>
      <c r="E43" s="32"/>
      <c r="F43" s="32"/>
      <c r="G43" s="32"/>
      <c r="H43" s="32"/>
      <c r="I43" s="32"/>
      <c r="J43" s="32"/>
      <c r="K43" s="32"/>
      <c r="L43" s="32"/>
      <c r="M43" s="2"/>
      <c r="N43" s="2"/>
      <c r="O43" s="14">
        <v>2536.0</v>
      </c>
      <c r="P43" s="20" t="s">
        <v>175</v>
      </c>
      <c r="Q43" s="16" t="s">
        <v>10</v>
      </c>
      <c r="R43" s="14">
        <v>2536.0</v>
      </c>
      <c r="S43" s="2"/>
      <c r="T43" s="2">
        <v>23.0</v>
      </c>
      <c r="U43" s="2"/>
      <c r="V43" s="2"/>
      <c r="W43" s="2"/>
      <c r="X43" s="21"/>
      <c r="Y43" s="7" t="s">
        <v>176</v>
      </c>
      <c r="Z43" s="2"/>
    </row>
    <row r="44" ht="15.0" customHeight="1">
      <c r="A44" s="112" t="s">
        <v>177</v>
      </c>
      <c r="B44" s="23"/>
      <c r="C44" s="23"/>
      <c r="D44" s="23"/>
      <c r="E44" s="23"/>
      <c r="F44" s="23"/>
      <c r="G44" s="23"/>
      <c r="H44" s="23"/>
      <c r="I44" s="23"/>
      <c r="J44" s="23"/>
      <c r="K44" s="23"/>
      <c r="L44" s="24"/>
      <c r="M44" s="2"/>
      <c r="N44" s="2"/>
      <c r="O44" s="14">
        <v>2554.0</v>
      </c>
      <c r="P44" s="20" t="s">
        <v>178</v>
      </c>
      <c r="Q44" s="16" t="s">
        <v>10</v>
      </c>
      <c r="R44" s="14">
        <v>2554.0</v>
      </c>
      <c r="S44" s="2"/>
      <c r="T44" s="2">
        <v>24.0</v>
      </c>
      <c r="U44" s="2"/>
      <c r="V44" s="2"/>
      <c r="W44" s="2"/>
      <c r="X44" s="21"/>
      <c r="Y44" s="7" t="s">
        <v>179</v>
      </c>
      <c r="Z44" s="2"/>
    </row>
    <row r="45" ht="15.0" customHeight="1">
      <c r="A45" s="32"/>
      <c r="B45" s="32"/>
      <c r="C45" s="32"/>
      <c r="D45" s="32"/>
      <c r="E45" s="32"/>
      <c r="F45" s="32"/>
      <c r="G45" s="32"/>
      <c r="H45" s="32"/>
      <c r="I45" s="32"/>
      <c r="J45" s="32"/>
      <c r="K45" s="32"/>
      <c r="L45" s="32"/>
      <c r="M45" s="2"/>
      <c r="N45" s="2"/>
      <c r="O45" s="14">
        <v>2537.0</v>
      </c>
      <c r="P45" s="20" t="s">
        <v>180</v>
      </c>
      <c r="Q45" s="16" t="s">
        <v>10</v>
      </c>
      <c r="R45" s="14">
        <v>2537.0</v>
      </c>
      <c r="S45" s="2"/>
      <c r="T45" s="2">
        <v>25.0</v>
      </c>
      <c r="U45" s="2"/>
      <c r="V45" s="2"/>
      <c r="W45" s="2"/>
      <c r="X45" s="13"/>
      <c r="Y45" s="7" t="s">
        <v>181</v>
      </c>
      <c r="Z45" s="2"/>
    </row>
    <row r="46" ht="15.0" customHeight="1">
      <c r="A46" s="46" t="s">
        <v>182</v>
      </c>
      <c r="B46" s="47"/>
      <c r="C46" s="47"/>
      <c r="D46" s="47"/>
      <c r="E46" s="47"/>
      <c r="F46" s="47"/>
      <c r="G46" s="47"/>
      <c r="H46" s="47"/>
      <c r="I46" s="47"/>
      <c r="J46" s="47"/>
      <c r="K46" s="47"/>
      <c r="L46" s="50"/>
      <c r="M46" s="2"/>
      <c r="N46" s="2"/>
      <c r="O46" s="113">
        <v>2556.0</v>
      </c>
      <c r="P46" s="114" t="s">
        <v>183</v>
      </c>
      <c r="Q46" s="115" t="s">
        <v>10</v>
      </c>
      <c r="R46" s="113">
        <v>2556.0</v>
      </c>
      <c r="S46" s="2"/>
      <c r="T46" s="2">
        <v>26.0</v>
      </c>
      <c r="U46" s="2"/>
      <c r="V46" s="2"/>
      <c r="W46" s="2"/>
      <c r="X46" s="116" t="s">
        <v>184</v>
      </c>
      <c r="Y46" s="7" t="s">
        <v>185</v>
      </c>
      <c r="Z46" s="2"/>
    </row>
    <row r="47" ht="15.0" customHeight="1">
      <c r="A47" s="63" t="s">
        <v>186</v>
      </c>
      <c r="B47" s="64"/>
      <c r="C47" s="64"/>
      <c r="D47" s="64"/>
      <c r="E47" s="64"/>
      <c r="F47" s="64"/>
      <c r="G47" s="64"/>
      <c r="H47" s="64"/>
      <c r="I47" s="64"/>
      <c r="J47" s="64"/>
      <c r="K47" s="64"/>
      <c r="L47" s="95"/>
      <c r="M47" s="2"/>
      <c r="N47" s="2"/>
      <c r="O47" s="117">
        <v>4026.0</v>
      </c>
      <c r="P47" s="118" t="s">
        <v>187</v>
      </c>
      <c r="Q47" s="119" t="s">
        <v>61</v>
      </c>
      <c r="R47" s="117">
        <v>4026.0</v>
      </c>
      <c r="S47" s="2"/>
      <c r="T47" s="2">
        <v>27.0</v>
      </c>
      <c r="U47" s="2"/>
      <c r="V47" s="2"/>
      <c r="W47" s="2"/>
      <c r="X47" s="21"/>
      <c r="Y47" s="7" t="s">
        <v>188</v>
      </c>
      <c r="Z47" s="2"/>
    </row>
    <row r="48" ht="15.0" customHeight="1">
      <c r="A48" s="68"/>
      <c r="L48" s="36"/>
      <c r="M48" s="2"/>
      <c r="N48" s="2"/>
      <c r="O48" s="14">
        <v>4027.0</v>
      </c>
      <c r="P48" s="118" t="s">
        <v>189</v>
      </c>
      <c r="Q48" s="119" t="s">
        <v>61</v>
      </c>
      <c r="R48" s="14">
        <v>4027.0</v>
      </c>
      <c r="S48" s="2"/>
      <c r="T48" s="2">
        <v>28.0</v>
      </c>
      <c r="U48" s="2"/>
      <c r="V48" s="2"/>
      <c r="W48" s="2"/>
      <c r="X48" s="21"/>
      <c r="Y48" s="7" t="s">
        <v>190</v>
      </c>
      <c r="Z48" s="2"/>
    </row>
    <row r="49" ht="15.0" customHeight="1">
      <c r="A49" s="68"/>
      <c r="L49" s="36"/>
      <c r="M49" s="2"/>
      <c r="N49" s="2"/>
      <c r="O49" s="14">
        <v>4029.0</v>
      </c>
      <c r="P49" s="120" t="s">
        <v>191</v>
      </c>
      <c r="Q49" s="121" t="s">
        <v>61</v>
      </c>
      <c r="R49" s="14">
        <v>4029.0</v>
      </c>
      <c r="S49" s="2"/>
      <c r="T49" s="2">
        <v>29.0</v>
      </c>
      <c r="U49" s="2"/>
      <c r="V49" s="2"/>
      <c r="W49" s="2"/>
      <c r="X49" s="21"/>
      <c r="Y49" s="7" t="s">
        <v>192</v>
      </c>
      <c r="Z49" s="2"/>
    </row>
    <row r="50" ht="15.0" customHeight="1">
      <c r="A50" s="68"/>
      <c r="L50" s="36"/>
      <c r="M50" s="2"/>
      <c r="N50" s="2"/>
      <c r="O50" s="14">
        <v>4025.0</v>
      </c>
      <c r="P50" s="120" t="s">
        <v>193</v>
      </c>
      <c r="Q50" s="121" t="s">
        <v>61</v>
      </c>
      <c r="R50" s="14">
        <v>4025.0</v>
      </c>
      <c r="S50" s="2"/>
      <c r="T50" s="2">
        <v>30.0</v>
      </c>
      <c r="U50" s="2"/>
      <c r="V50" s="2"/>
      <c r="W50" s="2"/>
      <c r="X50" s="21"/>
      <c r="Y50" s="7" t="s">
        <v>194</v>
      </c>
      <c r="Z50" s="2"/>
    </row>
    <row r="51" ht="15.0" customHeight="1">
      <c r="A51" s="68"/>
      <c r="L51" s="36"/>
      <c r="M51" s="2"/>
      <c r="N51" s="2"/>
      <c r="O51" s="14">
        <v>4031.0</v>
      </c>
      <c r="P51" s="120" t="s">
        <v>195</v>
      </c>
      <c r="Q51" s="121" t="s">
        <v>61</v>
      </c>
      <c r="R51" s="14">
        <v>4031.0</v>
      </c>
      <c r="S51" s="2"/>
      <c r="T51" s="2">
        <v>31.0</v>
      </c>
      <c r="U51" s="2"/>
      <c r="V51" s="2"/>
      <c r="W51" s="2"/>
      <c r="X51" s="21"/>
      <c r="Y51" s="7" t="s">
        <v>196</v>
      </c>
      <c r="Z51" s="2"/>
    </row>
    <row r="52" ht="15.0" customHeight="1">
      <c r="A52" s="68"/>
      <c r="L52" s="36"/>
      <c r="M52" s="2"/>
      <c r="N52" s="2"/>
      <c r="O52" s="14">
        <v>4033.0</v>
      </c>
      <c r="P52" s="120" t="s">
        <v>197</v>
      </c>
      <c r="Q52" s="121" t="s">
        <v>61</v>
      </c>
      <c r="R52" s="14">
        <v>4033.0</v>
      </c>
      <c r="S52" s="2"/>
      <c r="T52" s="2"/>
      <c r="U52" s="2"/>
      <c r="V52" s="2"/>
      <c r="W52" s="2"/>
      <c r="X52" s="21"/>
      <c r="Y52" s="7" t="s">
        <v>198</v>
      </c>
      <c r="Z52" s="2"/>
    </row>
    <row r="53" ht="15.0" customHeight="1">
      <c r="A53" s="122"/>
      <c r="B53" s="76"/>
      <c r="C53" s="76"/>
      <c r="D53" s="76"/>
      <c r="E53" s="76"/>
      <c r="F53" s="76"/>
      <c r="G53" s="76"/>
      <c r="H53" s="76"/>
      <c r="I53" s="76"/>
      <c r="J53" s="76"/>
      <c r="K53" s="76"/>
      <c r="L53" s="123"/>
      <c r="M53" s="2"/>
      <c r="N53" s="2"/>
      <c r="O53" s="14">
        <v>4021.0</v>
      </c>
      <c r="P53" s="120" t="s">
        <v>199</v>
      </c>
      <c r="Q53" s="121" t="s">
        <v>61</v>
      </c>
      <c r="R53" s="14">
        <v>4021.0</v>
      </c>
      <c r="S53" s="2"/>
      <c r="T53" s="2"/>
      <c r="U53" s="2"/>
      <c r="V53" s="2"/>
      <c r="W53" s="2"/>
      <c r="X53" s="21"/>
      <c r="Y53" s="7" t="s">
        <v>200</v>
      </c>
      <c r="Z53" s="2"/>
    </row>
    <row r="54" ht="15.0" customHeight="1">
      <c r="A54" s="32"/>
      <c r="B54" s="32"/>
      <c r="C54" s="32"/>
      <c r="D54" s="32"/>
      <c r="E54" s="32"/>
      <c r="F54" s="32"/>
      <c r="G54" s="32"/>
      <c r="H54" s="32"/>
      <c r="I54" s="32"/>
      <c r="J54" s="32"/>
      <c r="K54" s="32"/>
      <c r="L54" s="32"/>
      <c r="M54" s="2"/>
      <c r="N54" s="2"/>
      <c r="O54" s="14">
        <v>4022.0</v>
      </c>
      <c r="P54" s="120" t="s">
        <v>201</v>
      </c>
      <c r="Q54" s="121" t="s">
        <v>61</v>
      </c>
      <c r="R54" s="14">
        <v>4022.0</v>
      </c>
      <c r="S54" s="2"/>
      <c r="T54" s="2"/>
      <c r="U54" s="2" t="s">
        <v>202</v>
      </c>
      <c r="V54" s="2"/>
      <c r="W54" s="2"/>
      <c r="X54" s="21"/>
      <c r="Y54" s="7" t="s">
        <v>203</v>
      </c>
      <c r="Z54" s="2"/>
    </row>
    <row r="55" ht="15.0" customHeight="1">
      <c r="A55" s="46" t="s">
        <v>204</v>
      </c>
      <c r="B55" s="47"/>
      <c r="C55" s="47"/>
      <c r="D55" s="47"/>
      <c r="E55" s="47"/>
      <c r="F55" s="47"/>
      <c r="G55" s="47"/>
      <c r="H55" s="47"/>
      <c r="I55" s="47"/>
      <c r="J55" s="47"/>
      <c r="K55" s="47"/>
      <c r="L55" s="50"/>
      <c r="M55" s="2"/>
      <c r="N55" s="2"/>
      <c r="O55" s="14">
        <v>4028.0</v>
      </c>
      <c r="P55" s="120" t="s">
        <v>205</v>
      </c>
      <c r="Q55" s="121" t="s">
        <v>61</v>
      </c>
      <c r="R55" s="14">
        <v>4028.0</v>
      </c>
      <c r="S55" s="2"/>
      <c r="T55" s="2"/>
      <c r="U55" s="2" t="s">
        <v>206</v>
      </c>
      <c r="V55" s="2"/>
      <c r="W55" s="2"/>
      <c r="X55" s="21"/>
      <c r="Y55" s="7" t="s">
        <v>207</v>
      </c>
      <c r="Z55" s="2"/>
    </row>
    <row r="56" ht="15.0" customHeight="1">
      <c r="A56" s="124" t="s">
        <v>208</v>
      </c>
      <c r="B56" s="40"/>
      <c r="C56" s="40"/>
      <c r="D56" s="40"/>
      <c r="E56" s="42"/>
      <c r="F56" s="125" t="s">
        <v>209</v>
      </c>
      <c r="G56" s="40"/>
      <c r="H56" s="40"/>
      <c r="I56" s="40"/>
      <c r="J56" s="40"/>
      <c r="K56" s="40"/>
      <c r="L56" s="53"/>
      <c r="M56" s="126"/>
      <c r="N56" s="126"/>
      <c r="O56" s="14">
        <v>4030.0</v>
      </c>
      <c r="P56" s="120" t="s">
        <v>210</v>
      </c>
      <c r="Q56" s="121" t="s">
        <v>61</v>
      </c>
      <c r="R56" s="14">
        <v>4030.0</v>
      </c>
      <c r="S56" s="2"/>
      <c r="T56" s="2"/>
      <c r="U56" s="2"/>
      <c r="V56" s="2"/>
      <c r="W56" s="2"/>
      <c r="X56" s="21"/>
      <c r="Y56" s="7" t="s">
        <v>211</v>
      </c>
      <c r="Z56" s="126"/>
    </row>
    <row r="57" ht="30.0" customHeight="1">
      <c r="A57" s="51" t="s">
        <v>212</v>
      </c>
      <c r="B57" s="40"/>
      <c r="C57" s="40"/>
      <c r="D57" s="40"/>
      <c r="E57" s="42"/>
      <c r="F57" s="93" t="s">
        <v>213</v>
      </c>
      <c r="G57" s="40"/>
      <c r="H57" s="40"/>
      <c r="I57" s="40"/>
      <c r="J57" s="40"/>
      <c r="K57" s="40"/>
      <c r="L57" s="53"/>
      <c r="M57" s="2"/>
      <c r="N57" s="2"/>
      <c r="O57" s="14">
        <v>4024.0</v>
      </c>
      <c r="P57" s="120" t="s">
        <v>214</v>
      </c>
      <c r="Q57" s="121" t="s">
        <v>61</v>
      </c>
      <c r="R57" s="14">
        <v>4024.0</v>
      </c>
      <c r="S57" s="2"/>
      <c r="T57" s="2"/>
      <c r="U57" s="2"/>
      <c r="V57" s="2"/>
      <c r="W57" s="2"/>
      <c r="X57" s="21"/>
      <c r="Y57" s="7" t="s">
        <v>215</v>
      </c>
      <c r="Z57" s="2"/>
    </row>
    <row r="58" ht="15.0" customHeight="1">
      <c r="A58" s="127" t="s">
        <v>216</v>
      </c>
      <c r="B58" s="128"/>
      <c r="C58" s="128"/>
      <c r="D58" s="128"/>
      <c r="E58" s="129"/>
      <c r="F58" s="130" t="s">
        <v>217</v>
      </c>
      <c r="G58" s="128"/>
      <c r="H58" s="128"/>
      <c r="I58" s="128"/>
      <c r="J58" s="128"/>
      <c r="K58" s="128"/>
      <c r="L58" s="131"/>
      <c r="M58" s="2"/>
      <c r="N58" s="2"/>
      <c r="O58" s="14">
        <v>4023.0</v>
      </c>
      <c r="P58" s="120" t="s">
        <v>218</v>
      </c>
      <c r="Q58" s="121" t="s">
        <v>61</v>
      </c>
      <c r="R58" s="14">
        <v>4023.0</v>
      </c>
      <c r="S58" s="2"/>
      <c r="T58" s="2"/>
      <c r="U58" s="2"/>
      <c r="V58" s="2"/>
      <c r="W58" s="2"/>
      <c r="X58" s="21"/>
      <c r="Y58" s="7" t="s">
        <v>219</v>
      </c>
      <c r="Z58" s="2"/>
    </row>
    <row r="59" ht="15.0" customHeight="1">
      <c r="A59" s="68"/>
      <c r="E59" s="132"/>
      <c r="F59" s="133"/>
      <c r="L59" s="36"/>
      <c r="M59" s="2"/>
      <c r="N59" s="2"/>
      <c r="O59" s="113">
        <v>4032.0</v>
      </c>
      <c r="P59" s="134" t="s">
        <v>220</v>
      </c>
      <c r="Q59" s="135" t="s">
        <v>61</v>
      </c>
      <c r="R59" s="113">
        <v>4032.0</v>
      </c>
      <c r="S59" s="2"/>
      <c r="T59" s="2"/>
      <c r="U59" s="2"/>
      <c r="V59" s="2"/>
      <c r="W59" s="2"/>
      <c r="X59" s="21"/>
      <c r="Y59" s="7" t="s">
        <v>221</v>
      </c>
      <c r="Z59" s="2"/>
    </row>
    <row r="60" ht="15.0" customHeight="1">
      <c r="A60" s="68"/>
      <c r="E60" s="132"/>
      <c r="F60" s="133"/>
      <c r="L60" s="36"/>
      <c r="M60" s="2"/>
      <c r="N60" s="2"/>
      <c r="O60" s="136"/>
      <c r="P60" s="137"/>
      <c r="Q60" s="138"/>
      <c r="R60" s="136"/>
      <c r="S60" s="2"/>
      <c r="T60" s="2"/>
      <c r="U60" s="2"/>
      <c r="V60" s="2"/>
      <c r="W60" s="2"/>
      <c r="X60" s="21"/>
      <c r="Y60" s="7"/>
      <c r="Z60" s="2"/>
    </row>
    <row r="61" ht="15.0" customHeight="1">
      <c r="A61" s="68"/>
      <c r="E61" s="132"/>
      <c r="F61" s="133"/>
      <c r="L61" s="36"/>
      <c r="M61" s="2"/>
      <c r="N61" s="2"/>
      <c r="O61" s="136"/>
      <c r="P61" s="137"/>
      <c r="Q61" s="138"/>
      <c r="R61" s="136"/>
      <c r="S61" s="2"/>
      <c r="T61" s="2"/>
      <c r="U61" s="2"/>
      <c r="V61" s="2"/>
      <c r="W61" s="2"/>
      <c r="X61" s="21"/>
      <c r="Y61" s="7"/>
      <c r="Z61" s="2"/>
    </row>
    <row r="62" ht="15.0" customHeight="1">
      <c r="A62" s="68"/>
      <c r="E62" s="132"/>
      <c r="F62" s="133"/>
      <c r="L62" s="36"/>
      <c r="M62" s="2"/>
      <c r="N62" s="2"/>
      <c r="O62" s="136"/>
      <c r="P62" s="137"/>
      <c r="Q62" s="138"/>
      <c r="R62" s="136"/>
      <c r="S62" s="2"/>
      <c r="T62" s="2"/>
      <c r="U62" s="2"/>
      <c r="V62" s="2"/>
      <c r="W62" s="2"/>
      <c r="X62" s="21"/>
      <c r="Y62" s="7"/>
      <c r="Z62" s="2"/>
    </row>
    <row r="63" ht="15.0" customHeight="1">
      <c r="A63" s="139"/>
      <c r="B63" s="140"/>
      <c r="C63" s="140"/>
      <c r="D63" s="140"/>
      <c r="E63" s="141"/>
      <c r="F63" s="142"/>
      <c r="G63" s="140"/>
      <c r="H63" s="140"/>
      <c r="I63" s="140"/>
      <c r="J63" s="140"/>
      <c r="K63" s="140"/>
      <c r="L63" s="143"/>
      <c r="M63" s="2"/>
      <c r="N63" s="2"/>
      <c r="O63" s="14">
        <v>3502.0</v>
      </c>
      <c r="P63" s="120" t="s">
        <v>222</v>
      </c>
      <c r="Q63" s="121" t="s">
        <v>69</v>
      </c>
      <c r="R63" s="14">
        <v>3502.0</v>
      </c>
      <c r="S63" s="2"/>
      <c r="T63" s="2"/>
      <c r="U63" s="2"/>
      <c r="V63" s="2"/>
      <c r="W63" s="2"/>
      <c r="X63" s="21"/>
      <c r="Y63" s="7" t="s">
        <v>223</v>
      </c>
      <c r="Z63" s="2"/>
    </row>
    <row r="64" ht="15.0" customHeight="1">
      <c r="A64" s="144"/>
      <c r="B64" s="40"/>
      <c r="C64" s="40"/>
      <c r="D64" s="40"/>
      <c r="E64" s="40"/>
      <c r="F64" s="40"/>
      <c r="G64" s="40"/>
      <c r="H64" s="40"/>
      <c r="I64" s="40"/>
      <c r="J64" s="40"/>
      <c r="K64" s="40"/>
      <c r="L64" s="53"/>
      <c r="M64" s="2"/>
      <c r="N64" s="2"/>
      <c r="O64" s="14">
        <v>3512.0</v>
      </c>
      <c r="P64" s="120" t="s">
        <v>224</v>
      </c>
      <c r="Q64" s="121" t="s">
        <v>69</v>
      </c>
      <c r="R64" s="14">
        <v>3512.0</v>
      </c>
      <c r="S64" s="2"/>
      <c r="T64" s="2"/>
      <c r="U64" s="2"/>
      <c r="V64" s="2"/>
      <c r="W64" s="2"/>
      <c r="X64" s="21"/>
      <c r="Y64" s="7" t="s">
        <v>225</v>
      </c>
      <c r="Z64" s="2"/>
    </row>
    <row r="65" ht="15.0" customHeight="1">
      <c r="A65" s="145" t="s">
        <v>226</v>
      </c>
      <c r="B65" s="64"/>
      <c r="C65" s="64"/>
      <c r="D65" s="64"/>
      <c r="E65" s="146"/>
      <c r="F65" s="147" t="s">
        <v>227</v>
      </c>
      <c r="G65" s="64"/>
      <c r="H65" s="64"/>
      <c r="I65" s="64"/>
      <c r="J65" s="64"/>
      <c r="K65" s="64"/>
      <c r="L65" s="95"/>
      <c r="M65" s="2"/>
      <c r="N65" s="2"/>
      <c r="O65" s="14">
        <v>3503.0</v>
      </c>
      <c r="P65" s="120" t="s">
        <v>228</v>
      </c>
      <c r="Q65" s="121" t="s">
        <v>69</v>
      </c>
      <c r="R65" s="14">
        <v>3503.0</v>
      </c>
      <c r="S65" s="2"/>
      <c r="T65" s="2"/>
      <c r="U65" s="2"/>
      <c r="V65" s="2"/>
      <c r="W65" s="2"/>
      <c r="X65" s="21"/>
      <c r="Y65" s="7" t="s">
        <v>229</v>
      </c>
      <c r="Z65" s="2"/>
    </row>
    <row r="66" ht="15.0" customHeight="1">
      <c r="A66" s="68"/>
      <c r="E66" s="132"/>
      <c r="F66" s="133"/>
      <c r="L66" s="36"/>
      <c r="M66" s="2"/>
      <c r="N66" s="2"/>
      <c r="O66" s="14">
        <v>3513.0</v>
      </c>
      <c r="P66" s="120" t="s">
        <v>230</v>
      </c>
      <c r="Q66" s="121" t="s">
        <v>69</v>
      </c>
      <c r="R66" s="14">
        <v>3513.0</v>
      </c>
      <c r="S66" s="2"/>
      <c r="T66" s="2"/>
      <c r="U66" s="2"/>
      <c r="V66" s="2"/>
      <c r="W66" s="2"/>
      <c r="X66" s="21"/>
      <c r="Y66" s="7" t="s">
        <v>231</v>
      </c>
      <c r="Z66" s="2"/>
    </row>
    <row r="67" ht="15.0" customHeight="1">
      <c r="A67" s="68"/>
      <c r="E67" s="132"/>
      <c r="F67" s="133"/>
      <c r="L67" s="36"/>
      <c r="M67" s="2"/>
      <c r="N67" s="2"/>
      <c r="O67" s="14">
        <v>3504.0</v>
      </c>
      <c r="P67" s="120" t="s">
        <v>232</v>
      </c>
      <c r="Q67" s="121" t="s">
        <v>69</v>
      </c>
      <c r="R67" s="14">
        <v>3504.0</v>
      </c>
      <c r="S67" s="2"/>
      <c r="T67" s="2"/>
      <c r="U67" s="2"/>
      <c r="V67" s="2"/>
      <c r="W67" s="2"/>
      <c r="X67" s="21"/>
      <c r="Y67" s="7" t="s">
        <v>233</v>
      </c>
      <c r="Z67" s="2"/>
    </row>
    <row r="68" ht="15.0" customHeight="1">
      <c r="A68" s="139"/>
      <c r="B68" s="140"/>
      <c r="C68" s="140"/>
      <c r="D68" s="140"/>
      <c r="E68" s="141"/>
      <c r="F68" s="142"/>
      <c r="G68" s="140"/>
      <c r="H68" s="140"/>
      <c r="I68" s="140"/>
      <c r="J68" s="140"/>
      <c r="K68" s="140"/>
      <c r="L68" s="143"/>
      <c r="M68" s="2"/>
      <c r="N68" s="2"/>
      <c r="O68" s="148">
        <v>3514.0</v>
      </c>
      <c r="P68" s="120" t="s">
        <v>234</v>
      </c>
      <c r="Q68" s="121" t="s">
        <v>69</v>
      </c>
      <c r="R68" s="148">
        <v>3514.0</v>
      </c>
      <c r="S68" s="2"/>
      <c r="T68" s="2"/>
      <c r="U68" s="2"/>
      <c r="V68" s="2"/>
      <c r="W68" s="2"/>
      <c r="X68" s="21"/>
      <c r="Y68" s="7" t="s">
        <v>235</v>
      </c>
      <c r="Z68" s="2"/>
    </row>
    <row r="69" ht="15.0" customHeight="1">
      <c r="A69" s="149"/>
      <c r="L69" s="36"/>
      <c r="M69" s="2"/>
      <c r="N69" s="2"/>
      <c r="O69" s="14">
        <v>3515.0</v>
      </c>
      <c r="P69" s="120" t="s">
        <v>236</v>
      </c>
      <c r="Q69" s="121" t="s">
        <v>69</v>
      </c>
      <c r="R69" s="14">
        <v>3515.0</v>
      </c>
      <c r="S69" s="2"/>
      <c r="T69" s="2"/>
      <c r="U69" s="2"/>
      <c r="V69" s="2"/>
      <c r="W69" s="2"/>
      <c r="X69" s="21"/>
      <c r="Y69" s="7" t="s">
        <v>237</v>
      </c>
      <c r="Z69" s="2"/>
    </row>
    <row r="70" ht="15.0" customHeight="1">
      <c r="A70" s="145" t="s">
        <v>238</v>
      </c>
      <c r="B70" s="64"/>
      <c r="C70" s="64"/>
      <c r="D70" s="64"/>
      <c r="E70" s="146"/>
      <c r="F70" s="147" t="s">
        <v>239</v>
      </c>
      <c r="G70" s="64"/>
      <c r="H70" s="64"/>
      <c r="I70" s="64"/>
      <c r="J70" s="64"/>
      <c r="K70" s="64"/>
      <c r="L70" s="95"/>
      <c r="M70" s="2"/>
      <c r="N70" s="2"/>
      <c r="O70" s="14">
        <v>3508.0</v>
      </c>
      <c r="P70" s="120" t="s">
        <v>240</v>
      </c>
      <c r="Q70" s="121" t="s">
        <v>69</v>
      </c>
      <c r="R70" s="14">
        <v>3508.0</v>
      </c>
      <c r="S70" s="2"/>
      <c r="T70" s="2"/>
      <c r="U70" s="2"/>
      <c r="V70" s="2"/>
      <c r="W70" s="2"/>
      <c r="X70" s="13"/>
      <c r="Y70" s="7" t="s">
        <v>241</v>
      </c>
      <c r="Z70" s="2"/>
    </row>
    <row r="71" ht="15.0" customHeight="1">
      <c r="A71" s="68"/>
      <c r="E71" s="132"/>
      <c r="F71" s="133"/>
      <c r="L71" s="36"/>
      <c r="M71" s="2"/>
      <c r="N71" s="2"/>
      <c r="O71" s="14">
        <v>3509.0</v>
      </c>
      <c r="P71" s="120" t="s">
        <v>242</v>
      </c>
      <c r="Q71" s="121" t="s">
        <v>69</v>
      </c>
      <c r="R71" s="14">
        <v>3509.0</v>
      </c>
      <c r="S71" s="2"/>
      <c r="T71" s="2"/>
      <c r="U71" s="2"/>
      <c r="V71" s="2"/>
      <c r="W71" s="2"/>
      <c r="X71" s="79" t="s">
        <v>243</v>
      </c>
      <c r="Y71" s="7" t="s">
        <v>244</v>
      </c>
      <c r="Z71" s="2"/>
    </row>
    <row r="72" ht="15.0" customHeight="1">
      <c r="A72" s="139"/>
      <c r="B72" s="140"/>
      <c r="C72" s="140"/>
      <c r="D72" s="140"/>
      <c r="E72" s="141"/>
      <c r="F72" s="142"/>
      <c r="G72" s="140"/>
      <c r="H72" s="140"/>
      <c r="I72" s="140"/>
      <c r="J72" s="140"/>
      <c r="K72" s="140"/>
      <c r="L72" s="143"/>
      <c r="M72" s="2"/>
      <c r="N72" s="2"/>
      <c r="O72" s="14">
        <v>3527.0</v>
      </c>
      <c r="P72" s="120" t="s">
        <v>245</v>
      </c>
      <c r="Q72" s="121" t="s">
        <v>69</v>
      </c>
      <c r="R72" s="14">
        <v>3527.0</v>
      </c>
      <c r="S72" s="2"/>
      <c r="T72" s="2"/>
      <c r="U72" s="2"/>
      <c r="V72" s="2"/>
      <c r="W72" s="2"/>
      <c r="X72" s="13"/>
      <c r="Y72" s="7" t="s">
        <v>246</v>
      </c>
      <c r="Z72" s="2"/>
    </row>
    <row r="73" ht="21.0" customHeight="1">
      <c r="A73" s="144"/>
      <c r="B73" s="40"/>
      <c r="C73" s="40"/>
      <c r="D73" s="40"/>
      <c r="E73" s="40"/>
      <c r="F73" s="40"/>
      <c r="G73" s="40"/>
      <c r="H73" s="40"/>
      <c r="I73" s="40"/>
      <c r="J73" s="40"/>
      <c r="K73" s="40"/>
      <c r="L73" s="53"/>
      <c r="M73" s="2"/>
      <c r="N73" s="2"/>
      <c r="O73" s="14">
        <v>3516.0</v>
      </c>
      <c r="P73" s="120" t="s">
        <v>247</v>
      </c>
      <c r="Q73" s="121" t="s">
        <v>69</v>
      </c>
      <c r="R73" s="14">
        <v>3516.0</v>
      </c>
      <c r="S73" s="2"/>
      <c r="T73" s="2"/>
      <c r="U73" s="2"/>
      <c r="V73" s="2"/>
      <c r="W73" s="2"/>
      <c r="X73" s="116"/>
      <c r="Y73" s="150" t="s">
        <v>248</v>
      </c>
      <c r="Z73" s="2"/>
    </row>
    <row r="74" ht="21.0" customHeight="1">
      <c r="A74" s="145" t="s">
        <v>249</v>
      </c>
      <c r="B74" s="64"/>
      <c r="C74" s="64"/>
      <c r="D74" s="64"/>
      <c r="E74" s="146"/>
      <c r="F74" s="147" t="s">
        <v>250</v>
      </c>
      <c r="G74" s="64"/>
      <c r="H74" s="64"/>
      <c r="I74" s="64"/>
      <c r="J74" s="64"/>
      <c r="K74" s="64"/>
      <c r="L74" s="95"/>
      <c r="M74" s="2"/>
      <c r="N74" s="2"/>
      <c r="O74" s="14">
        <v>3517.0</v>
      </c>
      <c r="P74" s="120" t="s">
        <v>251</v>
      </c>
      <c r="Q74" s="121" t="s">
        <v>69</v>
      </c>
      <c r="R74" s="14">
        <v>3517.0</v>
      </c>
      <c r="S74" s="2"/>
      <c r="T74" s="2"/>
      <c r="U74" s="2"/>
      <c r="V74" s="2"/>
      <c r="W74" s="2"/>
      <c r="X74" s="13"/>
      <c r="Y74" s="151" t="s">
        <v>252</v>
      </c>
      <c r="Z74" s="2"/>
    </row>
    <row r="75" ht="15.0" customHeight="1">
      <c r="A75" s="68"/>
      <c r="E75" s="132"/>
      <c r="F75" s="133"/>
      <c r="L75" s="36"/>
      <c r="M75" s="2"/>
      <c r="N75" s="2"/>
      <c r="O75" s="14">
        <v>3518.0</v>
      </c>
      <c r="P75" s="120" t="s">
        <v>253</v>
      </c>
      <c r="Q75" s="121" t="s">
        <v>69</v>
      </c>
      <c r="R75" s="14">
        <v>3518.0</v>
      </c>
      <c r="S75" s="2"/>
      <c r="T75" s="2"/>
      <c r="U75" s="2"/>
      <c r="V75" s="2"/>
      <c r="W75" s="2"/>
      <c r="X75" s="116" t="s">
        <v>254</v>
      </c>
      <c r="Y75" s="7" t="s">
        <v>255</v>
      </c>
      <c r="Z75" s="2"/>
    </row>
    <row r="76" ht="15.0" customHeight="1">
      <c r="A76" s="68"/>
      <c r="E76" s="132"/>
      <c r="F76" s="133"/>
      <c r="L76" s="36"/>
      <c r="M76" s="2"/>
      <c r="N76" s="2"/>
      <c r="O76" s="14"/>
      <c r="P76" s="120"/>
      <c r="Q76" s="121"/>
      <c r="R76" s="14"/>
      <c r="S76" s="2"/>
      <c r="T76" s="2"/>
      <c r="U76" s="2"/>
      <c r="V76" s="2"/>
      <c r="W76" s="2"/>
      <c r="X76" s="21"/>
      <c r="Y76" s="7"/>
      <c r="Z76" s="2"/>
    </row>
    <row r="77" ht="15.0" customHeight="1">
      <c r="A77" s="68"/>
      <c r="E77" s="132"/>
      <c r="F77" s="133"/>
      <c r="L77" s="36"/>
      <c r="M77" s="2"/>
      <c r="N77" s="2"/>
      <c r="O77" s="14"/>
      <c r="P77" s="120"/>
      <c r="Q77" s="121"/>
      <c r="R77" s="14"/>
      <c r="S77" s="2"/>
      <c r="T77" s="2"/>
      <c r="U77" s="2"/>
      <c r="V77" s="2"/>
      <c r="W77" s="2"/>
      <c r="X77" s="21"/>
      <c r="Y77" s="7"/>
      <c r="Z77" s="2"/>
    </row>
    <row r="78" ht="15.0" customHeight="1">
      <c r="A78" s="68"/>
      <c r="E78" s="132"/>
      <c r="F78" s="133"/>
      <c r="L78" s="36"/>
      <c r="M78" s="2"/>
      <c r="N78" s="2"/>
      <c r="O78" s="14">
        <v>3519.0</v>
      </c>
      <c r="P78" s="120" t="s">
        <v>256</v>
      </c>
      <c r="Q78" s="121" t="s">
        <v>69</v>
      </c>
      <c r="R78" s="14">
        <v>3519.0</v>
      </c>
      <c r="S78" s="2"/>
      <c r="T78" s="2"/>
      <c r="U78" s="2"/>
      <c r="V78" s="2"/>
      <c r="W78" s="2"/>
      <c r="X78" s="21"/>
      <c r="Y78" s="7" t="s">
        <v>257</v>
      </c>
      <c r="Z78" s="2"/>
    </row>
    <row r="79" ht="15.0" customHeight="1">
      <c r="A79" s="139"/>
      <c r="B79" s="140"/>
      <c r="C79" s="140"/>
      <c r="D79" s="140"/>
      <c r="E79" s="141"/>
      <c r="F79" s="142"/>
      <c r="G79" s="140"/>
      <c r="H79" s="140"/>
      <c r="I79" s="140"/>
      <c r="J79" s="140"/>
      <c r="K79" s="140"/>
      <c r="L79" s="143"/>
      <c r="M79" s="2"/>
      <c r="N79" s="2"/>
      <c r="O79" s="14"/>
      <c r="P79" s="120"/>
      <c r="Q79" s="121"/>
      <c r="R79" s="14"/>
      <c r="S79" s="2"/>
      <c r="T79" s="2"/>
      <c r="U79" s="2"/>
      <c r="V79" s="2"/>
      <c r="W79" s="2"/>
      <c r="X79" s="13"/>
      <c r="Y79" s="7"/>
      <c r="Z79" s="2"/>
    </row>
    <row r="80" ht="15.0" customHeight="1">
      <c r="A80" s="144"/>
      <c r="B80" s="40"/>
      <c r="C80" s="40"/>
      <c r="D80" s="40"/>
      <c r="E80" s="40"/>
      <c r="F80" s="40"/>
      <c r="G80" s="40"/>
      <c r="H80" s="40"/>
      <c r="I80" s="40"/>
      <c r="J80" s="40"/>
      <c r="K80" s="40"/>
      <c r="L80" s="53"/>
      <c r="M80" s="2"/>
      <c r="N80" s="2"/>
      <c r="O80" s="14">
        <v>3521.0</v>
      </c>
      <c r="P80" s="120" t="s">
        <v>258</v>
      </c>
      <c r="Q80" s="121" t="s">
        <v>69</v>
      </c>
      <c r="R80" s="14">
        <v>3521.0</v>
      </c>
      <c r="S80" s="2"/>
      <c r="T80" s="2"/>
      <c r="U80" s="2"/>
      <c r="V80" s="2"/>
      <c r="W80" s="2"/>
      <c r="X80" s="152" t="s">
        <v>259</v>
      </c>
      <c r="Y80" s="7" t="s">
        <v>260</v>
      </c>
      <c r="Z80" s="2"/>
    </row>
    <row r="81" ht="15.0" customHeight="1">
      <c r="A81" s="145" t="s">
        <v>261</v>
      </c>
      <c r="B81" s="64"/>
      <c r="C81" s="64"/>
      <c r="D81" s="64"/>
      <c r="E81" s="146"/>
      <c r="F81" s="147" t="s">
        <v>262</v>
      </c>
      <c r="G81" s="64"/>
      <c r="H81" s="64"/>
      <c r="I81" s="64"/>
      <c r="J81" s="64"/>
      <c r="K81" s="64"/>
      <c r="L81" s="95"/>
      <c r="M81" s="2"/>
      <c r="N81" s="2"/>
      <c r="O81" s="148">
        <v>3506.0</v>
      </c>
      <c r="P81" s="120" t="s">
        <v>263</v>
      </c>
      <c r="Q81" s="121" t="s">
        <v>69</v>
      </c>
      <c r="R81" s="148">
        <v>3506.0</v>
      </c>
      <c r="S81" s="2"/>
      <c r="T81" s="2"/>
      <c r="U81" s="2"/>
      <c r="V81" s="2"/>
      <c r="W81" s="2"/>
      <c r="X81" s="13"/>
      <c r="Y81" s="7" t="s">
        <v>264</v>
      </c>
      <c r="Z81" s="2"/>
    </row>
    <row r="82" ht="15.0" customHeight="1">
      <c r="A82" s="68"/>
      <c r="E82" s="132"/>
      <c r="F82" s="133"/>
      <c r="L82" s="36"/>
      <c r="M82" s="2"/>
      <c r="N82" s="2"/>
      <c r="O82" s="14">
        <v>3510.0</v>
      </c>
      <c r="P82" s="120" t="s">
        <v>265</v>
      </c>
      <c r="Q82" s="121" t="s">
        <v>69</v>
      </c>
      <c r="R82" s="14">
        <v>3510.0</v>
      </c>
      <c r="S82" s="2"/>
      <c r="T82" s="2"/>
      <c r="U82" s="2"/>
      <c r="V82" s="2"/>
      <c r="W82" s="2"/>
      <c r="X82" s="116" t="s">
        <v>266</v>
      </c>
      <c r="Y82" s="7" t="s">
        <v>267</v>
      </c>
      <c r="Z82" s="2"/>
    </row>
    <row r="83" ht="15.0" customHeight="1">
      <c r="A83" s="68"/>
      <c r="E83" s="132"/>
      <c r="F83" s="133"/>
      <c r="L83" s="36"/>
      <c r="M83" s="2"/>
      <c r="N83" s="2"/>
      <c r="O83" s="14">
        <v>3522.0</v>
      </c>
      <c r="P83" s="120" t="s">
        <v>268</v>
      </c>
      <c r="Q83" s="121" t="s">
        <v>69</v>
      </c>
      <c r="R83" s="14">
        <v>3522.0</v>
      </c>
      <c r="S83" s="2"/>
      <c r="T83" s="2"/>
      <c r="U83" s="2"/>
      <c r="V83" s="2"/>
      <c r="W83" s="2"/>
      <c r="X83" s="21"/>
      <c r="Y83" s="7" t="s">
        <v>269</v>
      </c>
      <c r="Z83" s="2"/>
    </row>
    <row r="84" ht="15.0" customHeight="1">
      <c r="A84" s="139"/>
      <c r="B84" s="140"/>
      <c r="C84" s="140"/>
      <c r="D84" s="140"/>
      <c r="E84" s="141"/>
      <c r="F84" s="142"/>
      <c r="G84" s="140"/>
      <c r="H84" s="140"/>
      <c r="I84" s="140"/>
      <c r="J84" s="140"/>
      <c r="K84" s="140"/>
      <c r="L84" s="143"/>
      <c r="M84" s="2"/>
      <c r="N84" s="2"/>
      <c r="O84" s="14">
        <v>3523.0</v>
      </c>
      <c r="P84" s="120" t="s">
        <v>270</v>
      </c>
      <c r="Q84" s="121" t="s">
        <v>69</v>
      </c>
      <c r="R84" s="14">
        <v>3523.0</v>
      </c>
      <c r="S84" s="2"/>
      <c r="T84" s="2"/>
      <c r="U84" s="2"/>
      <c r="V84" s="2"/>
      <c r="W84" s="2"/>
      <c r="X84" s="21"/>
      <c r="Y84" s="7" t="s">
        <v>271</v>
      </c>
      <c r="Z84" s="2"/>
    </row>
    <row r="85" ht="15.0" customHeight="1">
      <c r="A85" s="144"/>
      <c r="B85" s="40"/>
      <c r="C85" s="40"/>
      <c r="D85" s="40"/>
      <c r="E85" s="40"/>
      <c r="F85" s="40"/>
      <c r="G85" s="40"/>
      <c r="H85" s="40"/>
      <c r="I85" s="40"/>
      <c r="J85" s="40"/>
      <c r="K85" s="40"/>
      <c r="L85" s="53"/>
      <c r="M85" s="2"/>
      <c r="N85" s="2"/>
      <c r="O85" s="14">
        <v>3524.0</v>
      </c>
      <c r="P85" s="120" t="s">
        <v>272</v>
      </c>
      <c r="Q85" s="121" t="s">
        <v>69</v>
      </c>
      <c r="R85" s="14">
        <v>3524.0</v>
      </c>
      <c r="S85" s="2"/>
      <c r="T85" s="2"/>
      <c r="U85" s="2"/>
      <c r="V85" s="2"/>
      <c r="W85" s="2"/>
      <c r="X85" s="21"/>
      <c r="Y85" s="7" t="s">
        <v>273</v>
      </c>
      <c r="Z85" s="2"/>
    </row>
    <row r="86" ht="15.0" customHeight="1">
      <c r="A86" s="145" t="s">
        <v>274</v>
      </c>
      <c r="B86" s="64"/>
      <c r="C86" s="64"/>
      <c r="D86" s="64"/>
      <c r="E86" s="146"/>
      <c r="F86" s="147" t="s">
        <v>275</v>
      </c>
      <c r="G86" s="64"/>
      <c r="H86" s="64"/>
      <c r="I86" s="64"/>
      <c r="J86" s="64"/>
      <c r="K86" s="64"/>
      <c r="L86" s="95"/>
      <c r="M86" s="2"/>
      <c r="N86" s="2"/>
      <c r="O86" s="153">
        <v>3525.0</v>
      </c>
      <c r="P86" s="154" t="s">
        <v>276</v>
      </c>
      <c r="Q86" s="155" t="s">
        <v>69</v>
      </c>
      <c r="R86" s="153">
        <v>3525.0</v>
      </c>
      <c r="S86" s="2"/>
      <c r="T86" s="2"/>
      <c r="U86" s="2"/>
      <c r="V86" s="2"/>
      <c r="W86" s="2"/>
      <c r="X86" s="13"/>
      <c r="Y86" s="156" t="s">
        <v>277</v>
      </c>
      <c r="Z86" s="2"/>
    </row>
    <row r="87" ht="15.0" customHeight="1">
      <c r="A87" s="68"/>
      <c r="E87" s="132"/>
      <c r="F87" s="133"/>
      <c r="L87" s="36"/>
      <c r="M87" s="2"/>
      <c r="N87" s="2"/>
      <c r="O87" s="1"/>
      <c r="P87" s="157"/>
      <c r="Q87" s="157"/>
      <c r="R87" s="1"/>
      <c r="S87" s="2"/>
      <c r="T87" s="2"/>
      <c r="U87" s="2"/>
      <c r="V87" s="2"/>
      <c r="W87" s="2"/>
      <c r="X87" s="158"/>
      <c r="Y87" s="2"/>
      <c r="Z87" s="2"/>
    </row>
    <row r="88" ht="15.0" customHeight="1">
      <c r="A88" s="68"/>
      <c r="E88" s="132"/>
      <c r="F88" s="133"/>
      <c r="L88" s="36"/>
      <c r="M88" s="2"/>
      <c r="N88" s="2"/>
      <c r="O88" s="117">
        <v>3507.0</v>
      </c>
      <c r="P88" s="118" t="s">
        <v>278</v>
      </c>
      <c r="Q88" s="119" t="s">
        <v>69</v>
      </c>
      <c r="R88" s="117">
        <v>3507.0</v>
      </c>
      <c r="S88" s="2"/>
      <c r="T88" s="2"/>
      <c r="U88" s="2"/>
      <c r="V88" s="2"/>
      <c r="W88" s="2"/>
      <c r="X88" s="116" t="s">
        <v>279</v>
      </c>
      <c r="Y88" s="159" t="s">
        <v>280</v>
      </c>
      <c r="Z88" s="2"/>
    </row>
    <row r="89" ht="15.0" customHeight="1">
      <c r="A89" s="122"/>
      <c r="B89" s="76"/>
      <c r="C89" s="76"/>
      <c r="D89" s="76"/>
      <c r="E89" s="83"/>
      <c r="F89" s="160"/>
      <c r="G89" s="76"/>
      <c r="H89" s="76"/>
      <c r="I89" s="76"/>
      <c r="J89" s="76"/>
      <c r="K89" s="76"/>
      <c r="L89" s="123"/>
      <c r="M89" s="2"/>
      <c r="N89" s="2"/>
      <c r="O89" s="14">
        <v>3526.0</v>
      </c>
      <c r="P89" s="120" t="s">
        <v>281</v>
      </c>
      <c r="Q89" s="121" t="s">
        <v>69</v>
      </c>
      <c r="R89" s="14">
        <v>3526.0</v>
      </c>
      <c r="S89" s="2"/>
      <c r="T89" s="2"/>
      <c r="U89" s="2"/>
      <c r="V89" s="2"/>
      <c r="W89" s="2"/>
      <c r="X89" s="13"/>
      <c r="Y89" s="7" t="s">
        <v>282</v>
      </c>
      <c r="Z89" s="2"/>
    </row>
    <row r="90" ht="15.0" customHeight="1">
      <c r="A90" s="144"/>
      <c r="B90" s="40"/>
      <c r="C90" s="40"/>
      <c r="D90" s="40"/>
      <c r="E90" s="40"/>
      <c r="F90" s="40"/>
      <c r="G90" s="40"/>
      <c r="H90" s="40"/>
      <c r="I90" s="40"/>
      <c r="J90" s="40"/>
      <c r="K90" s="40"/>
      <c r="L90" s="53"/>
      <c r="M90" s="161"/>
      <c r="N90" s="161"/>
      <c r="Z90" s="161"/>
    </row>
    <row r="91" ht="15.0" customHeight="1">
      <c r="A91" s="145" t="s">
        <v>283</v>
      </c>
      <c r="B91" s="64"/>
      <c r="C91" s="64"/>
      <c r="D91" s="64"/>
      <c r="E91" s="146"/>
      <c r="F91" s="147" t="s">
        <v>284</v>
      </c>
      <c r="G91" s="64"/>
      <c r="H91" s="64"/>
      <c r="I91" s="64"/>
      <c r="J91" s="64"/>
      <c r="K91" s="64"/>
      <c r="L91" s="95"/>
      <c r="M91" s="161"/>
      <c r="N91" s="161"/>
      <c r="Z91" s="161"/>
    </row>
    <row r="92" ht="15.0" customHeight="1">
      <c r="A92" s="68"/>
      <c r="E92" s="132"/>
      <c r="F92" s="133"/>
      <c r="L92" s="36"/>
      <c r="M92" s="161"/>
      <c r="N92" s="161"/>
      <c r="Z92" s="161"/>
    </row>
    <row r="93" ht="15.0" customHeight="1">
      <c r="A93" s="68"/>
      <c r="E93" s="132"/>
      <c r="F93" s="133"/>
      <c r="L93" s="36"/>
      <c r="M93" s="161"/>
      <c r="N93" s="161"/>
      <c r="Z93" s="161"/>
    </row>
    <row r="94" ht="15.0" customHeight="1">
      <c r="A94" s="139"/>
      <c r="B94" s="140"/>
      <c r="C94" s="140"/>
      <c r="D94" s="140"/>
      <c r="E94" s="141"/>
      <c r="F94" s="142"/>
      <c r="G94" s="140"/>
      <c r="H94" s="140"/>
      <c r="I94" s="140"/>
      <c r="J94" s="140"/>
      <c r="K94" s="140"/>
      <c r="L94" s="143"/>
      <c r="M94" s="161"/>
      <c r="N94" s="161"/>
      <c r="Z94" s="161"/>
    </row>
    <row r="95" ht="15.0" customHeight="1">
      <c r="A95" s="144"/>
      <c r="B95" s="40"/>
      <c r="C95" s="40"/>
      <c r="D95" s="40"/>
      <c r="E95" s="40"/>
      <c r="F95" s="40"/>
      <c r="G95" s="40"/>
      <c r="H95" s="40"/>
      <c r="I95" s="40"/>
      <c r="J95" s="40"/>
      <c r="K95" s="40"/>
      <c r="L95" s="53"/>
      <c r="M95" s="161"/>
      <c r="N95" s="161"/>
      <c r="Z95" s="161"/>
    </row>
    <row r="96" ht="15.0" customHeight="1">
      <c r="A96" s="145" t="s">
        <v>285</v>
      </c>
      <c r="B96" s="64"/>
      <c r="C96" s="64"/>
      <c r="D96" s="64"/>
      <c r="E96" s="146"/>
      <c r="F96" s="147" t="s">
        <v>286</v>
      </c>
      <c r="G96" s="64"/>
      <c r="H96" s="64"/>
      <c r="I96" s="64"/>
      <c r="J96" s="64"/>
      <c r="K96" s="64"/>
      <c r="L96" s="95"/>
      <c r="M96" s="161"/>
      <c r="N96" s="161"/>
      <c r="Z96" s="161"/>
    </row>
    <row r="97" ht="15.0" customHeight="1">
      <c r="A97" s="68"/>
      <c r="E97" s="132"/>
      <c r="F97" s="133"/>
      <c r="L97" s="36"/>
      <c r="M97" s="161"/>
      <c r="N97" s="161"/>
      <c r="Z97" s="161"/>
    </row>
    <row r="98" ht="15.0" customHeight="1">
      <c r="A98" s="139"/>
      <c r="B98" s="140"/>
      <c r="C98" s="140"/>
      <c r="D98" s="140"/>
      <c r="E98" s="141"/>
      <c r="F98" s="142"/>
      <c r="G98" s="140"/>
      <c r="H98" s="140"/>
      <c r="I98" s="140"/>
      <c r="J98" s="140"/>
      <c r="K98" s="140"/>
      <c r="L98" s="143"/>
      <c r="M98" s="161"/>
      <c r="N98" s="161"/>
      <c r="Z98" s="161"/>
    </row>
    <row r="99" ht="15.0" customHeight="1">
      <c r="A99" s="144"/>
      <c r="B99" s="40"/>
      <c r="C99" s="40"/>
      <c r="D99" s="40"/>
      <c r="E99" s="40"/>
      <c r="F99" s="40"/>
      <c r="G99" s="40"/>
      <c r="H99" s="40"/>
      <c r="I99" s="40"/>
      <c r="J99" s="40"/>
      <c r="K99" s="40"/>
      <c r="L99" s="53"/>
      <c r="M99" s="161"/>
      <c r="N99" s="161"/>
      <c r="Z99" s="161"/>
    </row>
    <row r="100" ht="15.0" customHeight="1">
      <c r="A100" s="145" t="s">
        <v>287</v>
      </c>
      <c r="B100" s="64"/>
      <c r="C100" s="64"/>
      <c r="D100" s="64"/>
      <c r="E100" s="162"/>
      <c r="F100" s="147" t="s">
        <v>288</v>
      </c>
      <c r="G100" s="64"/>
      <c r="H100" s="64"/>
      <c r="I100" s="64"/>
      <c r="J100" s="64"/>
      <c r="K100" s="64"/>
      <c r="L100" s="95"/>
      <c r="M100" s="161"/>
      <c r="N100" s="161"/>
      <c r="Z100" s="161"/>
    </row>
    <row r="101" ht="12.75" customHeight="1">
      <c r="A101" s="68"/>
      <c r="E101" s="163"/>
      <c r="F101" s="133"/>
      <c r="L101" s="36"/>
      <c r="M101" s="161"/>
      <c r="N101" s="161"/>
      <c r="Z101" s="161"/>
    </row>
    <row r="102" ht="12.75" customHeight="1">
      <c r="A102" s="68"/>
      <c r="E102" s="163"/>
      <c r="F102" s="133"/>
      <c r="L102" s="36"/>
      <c r="M102" s="161"/>
      <c r="N102" s="161"/>
      <c r="Z102" s="161"/>
    </row>
    <row r="103" ht="12.75" customHeight="1">
      <c r="A103" s="164"/>
      <c r="B103" s="29"/>
      <c r="C103" s="29"/>
      <c r="D103" s="29"/>
      <c r="E103" s="30"/>
      <c r="F103" s="142"/>
      <c r="G103" s="140"/>
      <c r="H103" s="140"/>
      <c r="I103" s="140"/>
      <c r="J103" s="140"/>
      <c r="K103" s="140"/>
      <c r="L103" s="143"/>
      <c r="M103" s="161"/>
      <c r="N103" s="161"/>
      <c r="Z103" s="161"/>
    </row>
    <row r="104" ht="15.0" customHeight="1">
      <c r="A104" s="144"/>
      <c r="B104" s="40"/>
      <c r="C104" s="40"/>
      <c r="D104" s="40"/>
      <c r="E104" s="40"/>
      <c r="F104" s="40"/>
      <c r="G104" s="40"/>
      <c r="H104" s="40"/>
      <c r="I104" s="40"/>
      <c r="J104" s="40"/>
      <c r="K104" s="40"/>
      <c r="L104" s="53"/>
      <c r="M104" s="161"/>
      <c r="N104" s="161"/>
      <c r="Z104" s="161"/>
    </row>
    <row r="105" ht="15.0" customHeight="1">
      <c r="A105" s="145" t="s">
        <v>289</v>
      </c>
      <c r="B105" s="64"/>
      <c r="C105" s="64"/>
      <c r="D105" s="64"/>
      <c r="E105" s="146"/>
      <c r="F105" s="147" t="s">
        <v>290</v>
      </c>
      <c r="G105" s="64"/>
      <c r="H105" s="64"/>
      <c r="I105" s="64"/>
      <c r="J105" s="64"/>
      <c r="K105" s="64"/>
      <c r="L105" s="95"/>
      <c r="M105" s="161"/>
      <c r="N105" s="161"/>
      <c r="Z105" s="161"/>
    </row>
    <row r="106" ht="12.75" customHeight="1">
      <c r="A106" s="68"/>
      <c r="E106" s="132"/>
      <c r="F106" s="133"/>
      <c r="L106" s="36"/>
      <c r="M106" s="161"/>
      <c r="N106" s="161"/>
      <c r="Z106" s="161"/>
    </row>
    <row r="107" ht="12.75" customHeight="1">
      <c r="A107" s="68"/>
      <c r="E107" s="132"/>
      <c r="F107" s="133"/>
      <c r="L107" s="36"/>
      <c r="M107" s="161"/>
      <c r="N107" s="161"/>
      <c r="Z107" s="161"/>
    </row>
    <row r="108" ht="12.75" customHeight="1">
      <c r="A108" s="68"/>
      <c r="E108" s="132"/>
      <c r="F108" s="133"/>
      <c r="L108" s="36"/>
      <c r="M108" s="161"/>
      <c r="N108" s="161"/>
      <c r="Z108" s="161"/>
    </row>
    <row r="109" ht="13.5" customHeight="1">
      <c r="A109" s="122"/>
      <c r="B109" s="76"/>
      <c r="C109" s="76"/>
      <c r="D109" s="76"/>
      <c r="E109" s="83"/>
      <c r="F109" s="160"/>
      <c r="G109" s="76"/>
      <c r="H109" s="76"/>
      <c r="I109" s="76"/>
      <c r="J109" s="76"/>
      <c r="K109" s="76"/>
      <c r="L109" s="123"/>
      <c r="M109" s="161"/>
      <c r="N109" s="161"/>
      <c r="Z109" s="161"/>
    </row>
    <row r="110" ht="13.5" customHeight="1">
      <c r="A110" s="165"/>
      <c r="B110" s="165"/>
      <c r="C110" s="165"/>
      <c r="D110" s="165"/>
      <c r="E110" s="165"/>
      <c r="F110" s="165"/>
      <c r="G110" s="165"/>
      <c r="H110" s="165"/>
      <c r="I110" s="165"/>
      <c r="J110" s="165"/>
      <c r="K110" s="165"/>
      <c r="L110" s="165"/>
      <c r="M110" s="161"/>
      <c r="N110" s="161"/>
      <c r="Z110" s="161"/>
    </row>
    <row r="111" ht="15.0" customHeight="1">
      <c r="A111" s="46" t="s">
        <v>291</v>
      </c>
      <c r="B111" s="47"/>
      <c r="C111" s="47"/>
      <c r="D111" s="47"/>
      <c r="E111" s="47"/>
      <c r="F111" s="47"/>
      <c r="G111" s="47"/>
      <c r="H111" s="47"/>
      <c r="I111" s="47"/>
      <c r="J111" s="47"/>
      <c r="K111" s="47"/>
      <c r="L111" s="50"/>
      <c r="M111" s="161"/>
      <c r="N111" s="161"/>
      <c r="Z111" s="161"/>
    </row>
    <row r="112" ht="12.75" customHeight="1">
      <c r="A112" s="166" t="s">
        <v>292</v>
      </c>
      <c r="B112" s="40"/>
      <c r="C112" s="42"/>
      <c r="D112" s="91" t="s">
        <v>293</v>
      </c>
      <c r="E112" s="40"/>
      <c r="F112" s="40"/>
      <c r="G112" s="40"/>
      <c r="H112" s="42"/>
      <c r="I112" s="91" t="s">
        <v>294</v>
      </c>
      <c r="J112" s="40"/>
      <c r="K112" s="42"/>
      <c r="L112" s="167" t="s">
        <v>135</v>
      </c>
      <c r="M112" s="161"/>
      <c r="N112" s="161"/>
      <c r="Z112" s="161"/>
    </row>
    <row r="113" ht="12.75" customHeight="1">
      <c r="A113" s="51" t="s">
        <v>295</v>
      </c>
      <c r="B113" s="40"/>
      <c r="C113" s="42"/>
      <c r="D113" s="93" t="s">
        <v>296</v>
      </c>
      <c r="E113" s="40"/>
      <c r="F113" s="40"/>
      <c r="G113" s="40"/>
      <c r="H113" s="42"/>
      <c r="I113" s="93" t="s">
        <v>297</v>
      </c>
      <c r="J113" s="40"/>
      <c r="K113" s="42"/>
      <c r="L113" s="168">
        <v>2024.0</v>
      </c>
      <c r="M113" s="161"/>
      <c r="N113" s="161"/>
      <c r="Z113" s="161"/>
    </row>
    <row r="114" ht="12.75" customHeight="1">
      <c r="A114" s="51" t="s">
        <v>298</v>
      </c>
      <c r="B114" s="40"/>
      <c r="C114" s="42"/>
      <c r="D114" s="93" t="s">
        <v>299</v>
      </c>
      <c r="E114" s="40"/>
      <c r="F114" s="40"/>
      <c r="G114" s="40"/>
      <c r="H114" s="42"/>
      <c r="I114" s="93" t="s">
        <v>300</v>
      </c>
      <c r="J114" s="40"/>
      <c r="K114" s="42"/>
      <c r="L114" s="168">
        <v>2023.0</v>
      </c>
      <c r="M114" s="161"/>
      <c r="N114" s="161"/>
      <c r="Z114" s="161"/>
    </row>
    <row r="115" ht="12.75" customHeight="1">
      <c r="A115" s="51" t="s">
        <v>301</v>
      </c>
      <c r="B115" s="40"/>
      <c r="C115" s="42"/>
      <c r="D115" s="93" t="s">
        <v>302</v>
      </c>
      <c r="E115" s="40"/>
      <c r="F115" s="40"/>
      <c r="G115" s="40"/>
      <c r="H115" s="42"/>
      <c r="I115" s="93" t="s">
        <v>303</v>
      </c>
      <c r="J115" s="40"/>
      <c r="K115" s="42"/>
      <c r="L115" s="168">
        <v>2018.0</v>
      </c>
      <c r="M115" s="161"/>
      <c r="N115" s="161"/>
      <c r="Z115" s="161"/>
    </row>
    <row r="116" ht="12.75" customHeight="1">
      <c r="A116" s="51" t="s">
        <v>304</v>
      </c>
      <c r="B116" s="40"/>
      <c r="C116" s="42"/>
      <c r="D116" s="93" t="s">
        <v>305</v>
      </c>
      <c r="E116" s="40"/>
      <c r="F116" s="40"/>
      <c r="G116" s="40"/>
      <c r="H116" s="42"/>
      <c r="I116" s="93" t="s">
        <v>306</v>
      </c>
      <c r="J116" s="40"/>
      <c r="K116" s="42"/>
      <c r="L116" s="168">
        <v>2016.0</v>
      </c>
      <c r="M116" s="161"/>
      <c r="N116" s="161"/>
      <c r="Z116" s="161"/>
    </row>
    <row r="117" ht="12.75" customHeight="1">
      <c r="A117" s="51" t="s">
        <v>307</v>
      </c>
      <c r="B117" s="40"/>
      <c r="C117" s="42"/>
      <c r="D117" s="93" t="s">
        <v>308</v>
      </c>
      <c r="E117" s="40"/>
      <c r="F117" s="40"/>
      <c r="G117" s="40"/>
      <c r="H117" s="42"/>
      <c r="I117" s="93" t="s">
        <v>309</v>
      </c>
      <c r="J117" s="40"/>
      <c r="K117" s="42"/>
      <c r="L117" s="168">
        <v>2024.0</v>
      </c>
      <c r="M117" s="161"/>
      <c r="N117" s="161"/>
      <c r="Z117" s="161"/>
    </row>
    <row r="118" ht="12.75" customHeight="1">
      <c r="A118" s="51"/>
      <c r="B118" s="40"/>
      <c r="C118" s="42"/>
      <c r="D118" s="93"/>
      <c r="E118" s="40"/>
      <c r="F118" s="40"/>
      <c r="G118" s="40"/>
      <c r="H118" s="42"/>
      <c r="I118" s="93"/>
      <c r="J118" s="40"/>
      <c r="K118" s="42"/>
      <c r="L118" s="168"/>
      <c r="M118" s="161"/>
      <c r="N118" s="161"/>
      <c r="Z118" s="161"/>
    </row>
    <row r="119" ht="13.5" customHeight="1">
      <c r="A119" s="54"/>
      <c r="B119" s="55"/>
      <c r="C119" s="56"/>
      <c r="D119" s="97"/>
      <c r="E119" s="55"/>
      <c r="F119" s="55"/>
      <c r="G119" s="55"/>
      <c r="H119" s="56"/>
      <c r="I119" s="97"/>
      <c r="J119" s="55"/>
      <c r="K119" s="56"/>
      <c r="L119" s="169"/>
      <c r="M119" s="161"/>
      <c r="N119" s="161"/>
      <c r="Z119" s="161"/>
    </row>
    <row r="120" ht="13.5" customHeight="1">
      <c r="A120" s="170"/>
      <c r="M120" s="161"/>
      <c r="N120" s="161"/>
      <c r="Z120" s="161"/>
    </row>
    <row r="121" ht="15.0" customHeight="1">
      <c r="A121" s="46" t="s">
        <v>310</v>
      </c>
      <c r="B121" s="47"/>
      <c r="C121" s="47"/>
      <c r="D121" s="47"/>
      <c r="E121" s="47"/>
      <c r="F121" s="47"/>
      <c r="G121" s="47"/>
      <c r="H121" s="47"/>
      <c r="I121" s="47"/>
      <c r="J121" s="47"/>
      <c r="K121" s="47"/>
      <c r="L121" s="50"/>
      <c r="M121" s="161"/>
      <c r="N121" s="161"/>
      <c r="Z121" s="161"/>
    </row>
    <row r="122" ht="13.5" customHeight="1">
      <c r="A122" s="54"/>
      <c r="B122" s="55"/>
      <c r="C122" s="55"/>
      <c r="D122" s="55"/>
      <c r="E122" s="55"/>
      <c r="F122" s="55"/>
      <c r="G122" s="55"/>
      <c r="H122" s="55"/>
      <c r="I122" s="55"/>
      <c r="J122" s="55"/>
      <c r="K122" s="55"/>
      <c r="L122" s="58"/>
      <c r="M122" s="161"/>
      <c r="N122" s="161"/>
      <c r="Z122" s="161"/>
    </row>
    <row r="123" ht="13.5" customHeight="1">
      <c r="A123" s="165"/>
      <c r="B123" s="165"/>
      <c r="C123" s="165"/>
      <c r="D123" s="165"/>
      <c r="E123" s="165"/>
      <c r="F123" s="165"/>
      <c r="G123" s="165"/>
      <c r="H123" s="165"/>
      <c r="I123" s="165"/>
      <c r="J123" s="165"/>
      <c r="K123" s="165"/>
      <c r="L123" s="165"/>
      <c r="M123" s="161"/>
      <c r="N123" s="161"/>
      <c r="Z123" s="161"/>
    </row>
    <row r="124" ht="15.0" customHeight="1">
      <c r="A124" s="171" t="s">
        <v>311</v>
      </c>
      <c r="B124" s="47"/>
      <c r="C124" s="47"/>
      <c r="D124" s="47"/>
      <c r="E124" s="47"/>
      <c r="F124" s="47"/>
      <c r="G124" s="47"/>
      <c r="H124" s="47"/>
      <c r="I124" s="47"/>
      <c r="J124" s="47"/>
      <c r="K124" s="47"/>
      <c r="L124" s="50"/>
      <c r="M124" s="161"/>
      <c r="N124" s="161"/>
      <c r="Z124" s="161"/>
    </row>
    <row r="125" ht="13.5" customHeight="1">
      <c r="A125" s="172" t="s">
        <v>312</v>
      </c>
      <c r="B125" s="55"/>
      <c r="C125" s="55"/>
      <c r="D125" s="56"/>
      <c r="E125" s="173"/>
      <c r="F125" s="55"/>
      <c r="G125" s="55"/>
      <c r="H125" s="56"/>
      <c r="I125" s="105" t="s">
        <v>313</v>
      </c>
      <c r="J125" s="55"/>
      <c r="K125" s="56"/>
      <c r="L125" s="169"/>
      <c r="M125" s="161"/>
      <c r="N125" s="161"/>
      <c r="Z125" s="161"/>
    </row>
    <row r="126" ht="12.75" customHeight="1">
      <c r="A126" s="78"/>
      <c r="B126" s="78"/>
      <c r="C126" s="174"/>
      <c r="D126" s="174"/>
      <c r="E126" s="174"/>
      <c r="F126" s="78"/>
      <c r="G126" s="78"/>
      <c r="H126" s="165"/>
      <c r="I126" s="165"/>
      <c r="J126" s="165"/>
      <c r="K126" s="165"/>
      <c r="L126" s="165"/>
      <c r="M126" s="161"/>
      <c r="N126" s="161"/>
      <c r="Z126" s="161"/>
    </row>
    <row r="127" ht="12.75" customHeight="1">
      <c r="A127" s="175" t="s">
        <v>314</v>
      </c>
      <c r="M127" s="161"/>
      <c r="N127" s="161"/>
      <c r="Z127" s="161"/>
    </row>
    <row r="128" ht="15.0" customHeight="1">
      <c r="A128" s="176" t="s">
        <v>315</v>
      </c>
      <c r="M128" s="161"/>
      <c r="N128" s="161"/>
      <c r="Z128" s="161"/>
    </row>
    <row r="129" ht="12.75" customHeight="1">
      <c r="A129" s="2"/>
      <c r="B129" s="2"/>
      <c r="C129" s="2"/>
      <c r="D129" s="2"/>
      <c r="E129" s="2"/>
      <c r="F129" s="2"/>
      <c r="G129" s="2"/>
      <c r="H129" s="2"/>
      <c r="I129" s="2"/>
      <c r="J129" s="2"/>
      <c r="K129" s="2"/>
      <c r="L129" s="2"/>
      <c r="M129" s="161"/>
      <c r="N129" s="161"/>
      <c r="Z129" s="161"/>
    </row>
  </sheetData>
  <mergeCells count="144">
    <mergeCell ref="A18:E18"/>
    <mergeCell ref="F18:L18"/>
    <mergeCell ref="A23:C23"/>
    <mergeCell ref="D23:E23"/>
    <mergeCell ref="H23:K24"/>
    <mergeCell ref="L23:L24"/>
    <mergeCell ref="F20:L20"/>
    <mergeCell ref="X29:X37"/>
    <mergeCell ref="X39:X40"/>
    <mergeCell ref="X41:X45"/>
    <mergeCell ref="X46:X70"/>
    <mergeCell ref="H25:K25"/>
    <mergeCell ref="A27:L27"/>
    <mergeCell ref="C28:F28"/>
    <mergeCell ref="H28:K28"/>
    <mergeCell ref="A30:L30"/>
    <mergeCell ref="B31:J31"/>
    <mergeCell ref="K31:L31"/>
    <mergeCell ref="F91:L94"/>
    <mergeCell ref="A95:L95"/>
    <mergeCell ref="A91:E94"/>
    <mergeCell ref="A96:E98"/>
    <mergeCell ref="F96:L98"/>
    <mergeCell ref="A17:E17"/>
    <mergeCell ref="F17:L17"/>
    <mergeCell ref="A44:L44"/>
    <mergeCell ref="A46:L46"/>
    <mergeCell ref="B32:J32"/>
    <mergeCell ref="K32:L32"/>
    <mergeCell ref="D113:H113"/>
    <mergeCell ref="I113:K113"/>
    <mergeCell ref="A74:E79"/>
    <mergeCell ref="A85:L85"/>
    <mergeCell ref="A86:E89"/>
    <mergeCell ref="A80:L80"/>
    <mergeCell ref="A81:E84"/>
    <mergeCell ref="B40:D40"/>
    <mergeCell ref="A42:F42"/>
    <mergeCell ref="A56:E56"/>
    <mergeCell ref="F56:L56"/>
    <mergeCell ref="A57:E57"/>
    <mergeCell ref="F70:L72"/>
    <mergeCell ref="A73:L73"/>
    <mergeCell ref="A105:E109"/>
    <mergeCell ref="A111:L111"/>
    <mergeCell ref="A112:C112"/>
    <mergeCell ref="I112:K112"/>
    <mergeCell ref="I114:K114"/>
    <mergeCell ref="A122:L122"/>
    <mergeCell ref="A124:L124"/>
    <mergeCell ref="A121:L121"/>
    <mergeCell ref="A120:L120"/>
    <mergeCell ref="I116:K116"/>
    <mergeCell ref="A117:C117"/>
    <mergeCell ref="D117:H117"/>
    <mergeCell ref="I117:K117"/>
    <mergeCell ref="D118:H118"/>
    <mergeCell ref="I118:K118"/>
    <mergeCell ref="I119:K119"/>
    <mergeCell ref="A114:C114"/>
    <mergeCell ref="D114:H114"/>
    <mergeCell ref="A113:C113"/>
    <mergeCell ref="A115:C115"/>
    <mergeCell ref="D115:H115"/>
    <mergeCell ref="I115:K115"/>
    <mergeCell ref="X75:X79"/>
    <mergeCell ref="X80:X81"/>
    <mergeCell ref="X82:X86"/>
    <mergeCell ref="X88:X89"/>
    <mergeCell ref="X73:X74"/>
    <mergeCell ref="X71:X72"/>
    <mergeCell ref="A116:C116"/>
    <mergeCell ref="D116:H116"/>
    <mergeCell ref="A128:L128"/>
    <mergeCell ref="A127:L127"/>
    <mergeCell ref="A125:D125"/>
    <mergeCell ref="I125:K125"/>
    <mergeCell ref="E125:H125"/>
    <mergeCell ref="A118:C118"/>
    <mergeCell ref="A119:C119"/>
    <mergeCell ref="D112:H112"/>
    <mergeCell ref="D119:H119"/>
    <mergeCell ref="A104:L104"/>
    <mergeCell ref="F105:L109"/>
    <mergeCell ref="F74:L79"/>
    <mergeCell ref="F81:L84"/>
    <mergeCell ref="F86:L89"/>
    <mergeCell ref="A99:L99"/>
    <mergeCell ref="F100:L103"/>
    <mergeCell ref="A90:L90"/>
    <mergeCell ref="A100:E103"/>
    <mergeCell ref="B38:D38"/>
    <mergeCell ref="B39:D39"/>
    <mergeCell ref="A16:E16"/>
    <mergeCell ref="F40:J40"/>
    <mergeCell ref="F19:L19"/>
    <mergeCell ref="F36:J36"/>
    <mergeCell ref="K40:L40"/>
    <mergeCell ref="K36:L36"/>
    <mergeCell ref="K38:L38"/>
    <mergeCell ref="K39:L39"/>
    <mergeCell ref="A35:L35"/>
    <mergeCell ref="B33:J33"/>
    <mergeCell ref="K33:L33"/>
    <mergeCell ref="F38:J38"/>
    <mergeCell ref="F39:J39"/>
    <mergeCell ref="A47:L53"/>
    <mergeCell ref="A55:L55"/>
    <mergeCell ref="F57:L57"/>
    <mergeCell ref="A58:E63"/>
    <mergeCell ref="F58:L63"/>
    <mergeCell ref="A64:L64"/>
    <mergeCell ref="A65:E68"/>
    <mergeCell ref="F65:L68"/>
    <mergeCell ref="A69:L69"/>
    <mergeCell ref="A70:E72"/>
    <mergeCell ref="E11:I11"/>
    <mergeCell ref="E13:L13"/>
    <mergeCell ref="F16:L16"/>
    <mergeCell ref="A1:L1"/>
    <mergeCell ref="A2:L2"/>
    <mergeCell ref="A3:L3"/>
    <mergeCell ref="A4:L4"/>
    <mergeCell ref="A6:L6"/>
    <mergeCell ref="A7:L8"/>
    <mergeCell ref="B36:D36"/>
    <mergeCell ref="B37:D37"/>
    <mergeCell ref="K37:L37"/>
    <mergeCell ref="F37:J37"/>
    <mergeCell ref="F15:I15"/>
    <mergeCell ref="J15:L15"/>
    <mergeCell ref="A15:E15"/>
    <mergeCell ref="A13:D13"/>
    <mergeCell ref="A19:E19"/>
    <mergeCell ref="A20:E20"/>
    <mergeCell ref="A22:F22"/>
    <mergeCell ref="H22:L22"/>
    <mergeCell ref="O1:O2"/>
    <mergeCell ref="P1:P2"/>
    <mergeCell ref="Q1:Q2"/>
    <mergeCell ref="X1:X2"/>
    <mergeCell ref="X3:X13"/>
    <mergeCell ref="X15:X25"/>
    <mergeCell ref="X26:X28"/>
  </mergeCells>
  <dataValidations>
    <dataValidation type="list" allowBlank="1" showInputMessage="1" showErrorMessage="1" prompt=" - " sqref="K37:K40">
      <formula1>abop</formula1>
    </dataValidation>
    <dataValidation type="list" allowBlank="1" showInputMessage="1" showErrorMessage="1" prompt=" - " sqref="B37:B40">
      <formula1>programa</formula1>
    </dataValidation>
    <dataValidation type="list" allowBlank="1" showInputMessage="1" showErrorMessage="1" prompt=" - " sqref="E37:E40">
      <formula1>componentes</formula1>
    </dataValidation>
    <dataValidation type="list" allowBlank="1" showInputMessage="1" showErrorMessage="1" prompt=" - " sqref="K32:K33">
      <formula1>req</formula1>
    </dataValidation>
  </dataValidations>
  <printOptions/>
  <pageMargins bottom="0.75" footer="0.0" header="0.0" left="0.7" right="0.7" top="0.75"/>
  <pageSetup orientation="landscape"/>
  <headerFooter>
    <oddFooter>&amp;LFormato de PROGRAMA-ASIGNATURA de pregrado&amp;RPágina &amp;P de </oddFooter>
  </headerFooter>
  <drawing r:id="rId2"/>
  <legacyDrawing r:id="rId3"/>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4">
      <vt:variant>
        <vt:lpstr>Hojas de cálculo</vt:lpstr>
      </vt:variant>
      <vt:variant>
        <vt:i4>1</vt:i4>
      </vt:variant>
      <vt:variant>
        <vt:lpstr>Rangos con nombre</vt:lpstr>
      </vt:variant>
      <vt:variant>
        <vt:i4>18</vt:i4>
      </vt:variant>
    </vt:vector>
  </HeadingPairs>
  <TitlesOfParts>
    <vt:vector baseType="lpstr" size="19">
      <vt:lpstr>Formato Asignatura Pregrado</vt:lpstr>
      <vt:lpstr>abop</vt:lpstr>
      <vt:lpstr>año</vt:lpstr>
      <vt:lpstr>componentes</vt:lpstr>
      <vt:lpstr>DIA</vt:lpstr>
      <vt:lpstr>dias</vt:lpstr>
      <vt:lpstr>fac_bo</vt:lpstr>
      <vt:lpstr>fac_ma</vt:lpstr>
      <vt:lpstr>fac_me</vt:lpstr>
      <vt:lpstr>fac_pa</vt:lpstr>
      <vt:lpstr>mes</vt:lpstr>
      <vt:lpstr>NS</vt:lpstr>
      <vt:lpstr>programa</vt:lpstr>
      <vt:lpstr>req</vt:lpstr>
      <vt:lpstr>SEDES</vt:lpstr>
      <vt:lpstr>'Formato Asignatura Pregrado'!Títulos_a_imprimir</vt:lpstr>
      <vt:lpstr>unid_bo</vt:lpstr>
      <vt:lpstr>unid_ma</vt:lpstr>
      <vt:lpstr>unid_me</vt:lpstr>
    </vt:vector>
  </TitlesOfParts>
  <LinksUpToDate>false</LinksUpToDate>
  <SharedDoc>false</SharedDoc>
  <HyperlinksChanged>false</HyperlinksChanged>
  <Application>Microsoft Excel</Application>
  <AppVersion>16.0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2011-02-25T22:50:37Z</dcterms:created>
  <dc:creator>user</dc:creator>
  <cp:lastModifiedBy>Maria C Torres</cp:lastModifiedBy>
  <cp:lastPrinted>2011-09-08T18:27:32Z</cp:lastPrinted>
  <dcterms:modified xsi:type="dcterms:W3CDTF">2026-09-17T16:43:23Z</dcterms:modified>
</cp:coreProperties>
</file>