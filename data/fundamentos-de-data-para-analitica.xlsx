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Volumes/GitHub/classroom-solutions/data/"/>
    </mc:Choice>
  </mc:AlternateContent>
  <xr:revisionPtr revIDLastSave="0" documentId="13_ncr:1_{CADF56B7-55D3-A44B-8140-32494E2716EC}" xr6:coauthVersionLast="47" xr6:coauthVersionMax="47" xr10:uidLastSave="{00000000-0000-0000-0000-000000000000}"/>
  <bookViews>
    <workbookView xWindow="32620" yWindow="1400" windowWidth="29700" windowHeight="30640" xr2:uid="{00000000-000D-0000-FFFF-FFFF00000000}"/>
  </bookViews>
  <sheets>
    <sheet name="Formato Asignatura Pregrado" sheetId="1" r:id="rId1"/>
  </sheets>
  <definedNames>
    <definedName name="abop">'Formato Asignatura Pregrado'!$W$2:$W$3</definedName>
    <definedName name="administración">#REF!</definedName>
    <definedName name="año">'Formato Asignatura Pregrado'!$V$32</definedName>
    <definedName name="arquitectura">#REF!</definedName>
    <definedName name="artes">#REF!</definedName>
    <definedName name="bogota">#REF!</definedName>
    <definedName name="ciencias">#REF!</definedName>
    <definedName name="cienciasagropecuarias">#REF!</definedName>
    <definedName name="cienciasagropecuariaspal">#REF!</definedName>
    <definedName name="cienciaseconómicas">#REF!</definedName>
    <definedName name="cienciasexactas">#REF!</definedName>
    <definedName name="cienciashumanas">#REF!</definedName>
    <definedName name="cienciashumanasyeconómicas">#REF!</definedName>
    <definedName name="cienciasmed">#REF!</definedName>
    <definedName name="componentes">'Formato Asignatura Pregrado'!$V$2:$V$3</definedName>
    <definedName name="derecho">#REF!</definedName>
    <definedName name="DIA">'Formato Asignatura Pregrado'!$T$32:$T$46</definedName>
    <definedName name="dias">'Formato Asignatura Pregrado'!$T$32:$T$46</definedName>
    <definedName name="enfermería">#REF!</definedName>
    <definedName name="fac_bo">'Formato Asignatura Pregrado'!$T$2:$T$15</definedName>
    <definedName name="fac_ma">'Formato Asignatura Pregrado'!$T$16:$T$18</definedName>
    <definedName name="fac_me">'Formato Asignatura Pregrado'!$T$19:$T$23</definedName>
    <definedName name="fac_pa">'Formato Asignatura Pregrado'!$T$24:$T$25</definedName>
    <definedName name="ingeniería">#REF!</definedName>
    <definedName name="Ingeniería_Agronómica">#REF!</definedName>
    <definedName name="ingenieríaagronómica">#REF!</definedName>
    <definedName name="ingenierìaarquitectura">#REF!</definedName>
    <definedName name="ingenieríayadministración">#REF!</definedName>
    <definedName name="manizales">#REF!</definedName>
    <definedName name="medellin">#REF!</definedName>
    <definedName name="medicina">#REF!</definedName>
    <definedName name="mes">'Formato Asignatura Pregrado'!$U$32:$U$37</definedName>
    <definedName name="minas">#REF!</definedName>
    <definedName name="NS">'Formato Asignatura Pregrado'!$T$26</definedName>
    <definedName name="odontología">#REF!</definedName>
    <definedName name="palmira">#REF!</definedName>
    <definedName name="programa">'Formato Asignatura Pregrado'!$P$3:$P$62</definedName>
    <definedName name="req">'Formato Asignatura Pregrado'!$U$48:$U$49</definedName>
    <definedName name="sede">#REF!</definedName>
    <definedName name="SEDES">'Formato Asignatura Pregrado'!$S$2:$S$13</definedName>
    <definedName name="unid_bo">'Formato Asignatura Pregrado'!$Y$1:$Y$58</definedName>
    <definedName name="unid_ma">'Formato Asignatura Pregrado'!$Y$59:$Y$62</definedName>
    <definedName name="unid_me">'Formato Asignatura Pregrado'!#REF!</definedName>
    <definedName name="veterinaria">#REF!</definedName>
    <definedName name="Z_4661FE06_EA67_45E7_A7C9_E76C84D0CD8A_.wvu.PrintTitles" localSheetId="0">'Formato Asignatura Pregrado'!$A$1:$IV$3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1" l="1"/>
  <c r="A39" i="1"/>
  <c r="A38" i="1"/>
  <c r="G28" i="1"/>
  <c r="L28" i="1" s="1"/>
  <c r="C25" i="1"/>
  <c r="E25" i="1" s="1"/>
  <c r="F2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22" authorId="0" shapeId="0" xr:uid="{00000000-0006-0000-0000-00000C000000}">
      <text>
        <r>
          <rPr>
            <sz val="10"/>
            <color rgb="FF000000"/>
            <rFont val="Calibri"/>
            <family val="2"/>
            <scheme val="minor"/>
          </rPr>
          <t>Vicerrectoria:
Una asignatura es validable si puede ser evaluada mediante un examen o prueba de suficiencia sin necesidad de que el estudiante asista al curso regular.</t>
        </r>
      </text>
    </comment>
    <comment ref="A24" authorId="0" shapeId="0" xr:uid="{00000000-0006-0000-0000-000003000000}">
      <text>
        <r>
          <rPr>
            <sz val="10"/>
            <color rgb="FF000000"/>
            <rFont val="Calibri"/>
            <family val="2"/>
            <scheme val="minor"/>
          </rPr>
          <t xml:space="preserve">Vicerrectoría: 
Horas de Actividad Presencial a la semana o intensidad horaria. Actividad presencial es la que se desarrolla dentro o fuera de las aulas en contacto y con dirección del profesor </t>
        </r>
      </text>
    </comment>
    <comment ref="B24" authorId="0" shapeId="0" xr:uid="{00000000-0006-0000-0000-000004000000}">
      <text>
        <r>
          <rPr>
            <sz val="10"/>
            <color rgb="FF000000"/>
            <rFont val="Calibri"/>
            <family val="2"/>
            <scheme val="minor"/>
          </rPr>
          <t>Vicerrectoría: 
Horas de Actividad autónoma o Independiente a la semana. Actividad Independiente es la realizada autónomamente por el estudiante.</t>
        </r>
      </text>
    </comment>
    <comment ref="C24" authorId="0" shapeId="0" xr:uid="{00000000-0006-0000-0000-000005000000}">
      <text>
        <r>
          <rPr>
            <sz val="10"/>
            <color rgb="FF000000"/>
            <rFont val="Calibri"/>
            <family val="2"/>
            <scheme val="minor"/>
          </rPr>
          <t>Vicerrectoría: 
Total de horas de actividad presencial e independiente que emplea el estudiante para cumplir con una asignatura a la semana. Es calculado por el sistema.</t>
        </r>
      </text>
    </comment>
    <comment ref="D24" authorId="0" shapeId="0" xr:uid="{00000000-0006-0000-0000-000007000000}">
      <text>
        <r>
          <rPr>
            <sz val="10"/>
            <color rgb="FF000000"/>
            <rFont val="Calibri"/>
            <family val="2"/>
            <scheme val="minor"/>
          </rPr>
          <t>Vicerrectoría:
Número de semanas por periodo académico. En ningún caso el número de semanas podrá ser inferior a 16, ni superior a 25</t>
        </r>
      </text>
    </comment>
    <comment ref="E24" authorId="0" shapeId="0" xr:uid="{00000000-0006-0000-0000-000009000000}">
      <text>
        <r>
          <rPr>
            <sz val="10"/>
            <color rgb="FF000000"/>
            <rFont val="Calibri"/>
            <family val="2"/>
            <scheme val="minor"/>
          </rPr>
          <t>Vicerrectoría: 
Total de Horas por Periodo académico. Este cálculo lo realiza automáticamente el sistema.</t>
        </r>
      </text>
    </comment>
    <comment ref="F24" authorId="0" shapeId="0" xr:uid="{00000000-0006-0000-0000-00000A000000}">
      <text>
        <r>
          <rPr>
            <sz val="10"/>
            <color rgb="FF000000"/>
            <rFont val="Calibri"/>
            <family val="2"/>
            <scheme val="minor"/>
          </rPr>
          <t xml:space="preserve">Vicerrectoría: Cada crédito requiere 48 horas de trabajo del estudiante. Un crédito académico es la unidad que mide el tiempo que el estudiante requiere para cumplir los objetivos de formación de cada asignatura. Incluye el tiempo de la actividad presencial y la independiente. </t>
        </r>
      </text>
    </comment>
    <comment ref="A28" authorId="0" shapeId="0" xr:uid="{00000000-0006-0000-0000-000002000000}">
      <text>
        <r>
          <rPr>
            <sz val="10"/>
            <color rgb="FF000000"/>
            <rFont val="Calibri"/>
            <family val="2"/>
            <scheme val="minor"/>
          </rPr>
          <t>Vicerrectoría:
Porcentaje mínimo de horas que el estudiante está obligado a asistir a un curso durante el periodo académico.</t>
        </r>
      </text>
    </comment>
    <comment ref="G28" authorId="0" shapeId="0" xr:uid="{00000000-0006-0000-0000-000006000000}">
      <text>
        <r>
          <rPr>
            <sz val="10"/>
            <color rgb="FF000000"/>
            <rFont val="Calibri"/>
            <family val="2"/>
            <scheme val="minor"/>
          </rPr>
          <t>Vicerrectoría: 
El sistema calcula automáticamente el número de horas presenciales por período académico, a partir de la información del punto 2.</t>
        </r>
      </text>
    </comment>
    <comment ref="L28" authorId="0" shapeId="0" xr:uid="{00000000-0006-0000-0000-00000B000000}">
      <text>
        <r>
          <rPr>
            <sz val="10"/>
            <color rgb="FF000000"/>
            <rFont val="Calibri"/>
            <family val="2"/>
            <scheme val="minor"/>
          </rPr>
          <t>Vicerrectoría: 
El sistema calcula el número mínimo de horas presenciales que el estudiante debe cumplir. Si el estudiante asiste menos tiempo, su calificación será 0.0</t>
        </r>
      </text>
    </comment>
    <comment ref="A30" authorId="0" shapeId="0" xr:uid="{00000000-0006-0000-0000-000001000000}">
      <text>
        <r>
          <rPr>
            <sz val="10"/>
            <color rgb="FF000000"/>
            <rFont val="Calibri"/>
            <family val="2"/>
            <scheme val="minor"/>
          </rPr>
          <t>Vicerrectoría: 
Liste por separado cada una de las asignaturas prerrequisito  o correquisito</t>
        </r>
      </text>
    </comment>
    <comment ref="K31" authorId="0" shapeId="0" xr:uid="{00000000-0006-0000-0000-000008000000}">
      <text>
        <r>
          <rPr>
            <sz val="10"/>
            <color rgb="FF000000"/>
            <rFont val="Calibri"/>
            <family val="2"/>
            <scheme val="minor"/>
          </rPr>
          <t>Vicerrectoría: 
Prerrequisito es una condición previa  que el estudiante debe cumplir para inscribir la asignatura. 
Correquisito es un requerimiento simultáneo que se verifica para un mismo periodo académico.</t>
        </r>
      </text>
    </comment>
    <comment ref="A42" authorId="0" shapeId="0" xr:uid="{00000000-0006-0000-0000-00000E000000}">
      <text>
        <r>
          <rPr>
            <sz val="10"/>
            <color rgb="FF000000"/>
            <rFont val="Calibri"/>
            <family val="2"/>
            <scheme val="minor"/>
          </rPr>
          <t>Vicerrectoría:
El grupo de asignaturas electivas, exclusivo de los pregrados, comprende aquellas asignaturas que se ofrecen para cualquier estudiante de pregrado, y se inscriben con créditos del componente de libre elección. También comprende las asignaturas que conforman líneas de profundización, los contextos y las cátedras que se ofrecen para cualquier estudiante de la Universidad y se caracterizan por no tener prerrequisitos.</t>
        </r>
      </text>
    </comment>
    <comment ref="A46" authorId="0" shapeId="0" xr:uid="{00000000-0006-0000-0000-00000D000000}">
      <text>
        <r>
          <rPr>
            <sz val="10"/>
            <color rgb="FF000000"/>
            <rFont val="Calibri"/>
            <family val="2"/>
            <scheme val="minor"/>
          </rPr>
          <t>Vicerrectoría: 
Sintetice los objetivos de formación, los contenidos fundamentales de la asignatura y los conocimientos previos requeridos a los estudiantes. Utilice máximo 150 palabras. Tenga en cuenta que esta es la información que va a aparecer en los certificados expedidos por la universidad.</t>
        </r>
      </text>
    </comment>
  </commentList>
</comments>
</file>

<file path=xl/sharedStrings.xml><?xml version="1.0" encoding="utf-8"?>
<sst xmlns="http://schemas.openxmlformats.org/spreadsheetml/2006/main" count="350" uniqueCount="271">
  <si>
    <t>Código SIA</t>
  </si>
  <si>
    <t>PROGRAMA CURRICULAR</t>
  </si>
  <si>
    <t>SEDE</t>
  </si>
  <si>
    <t>FACULTAD</t>
  </si>
  <si>
    <t>COMPONENTE</t>
  </si>
  <si>
    <t>OB OP</t>
  </si>
  <si>
    <t xml:space="preserve">AGRONOMÍA           </t>
  </si>
  <si>
    <t xml:space="preserve">DEPARTAMENTO DE AGRONOMIA                       </t>
  </si>
  <si>
    <t>VICERRECTORÍA ACADÉMICA</t>
  </si>
  <si>
    <t>Agronomía - Bogotá</t>
  </si>
  <si>
    <t>Bogotá</t>
  </si>
  <si>
    <t>Fundamentación</t>
  </si>
  <si>
    <t>Obligatoria</t>
  </si>
  <si>
    <t xml:space="preserve">ESCUELA DE POSGRADOS AGRONOMIA                       </t>
  </si>
  <si>
    <t>DIRECCIÓN NACIONAL DE PROGRAMAS DE PREGRADO</t>
  </si>
  <si>
    <t>Administración de Empresas -Bogotá</t>
  </si>
  <si>
    <t>Amazonia </t>
  </si>
  <si>
    <t>Artes - Bogotá</t>
  </si>
  <si>
    <t>Disciplinar</t>
  </si>
  <si>
    <t>Optativa</t>
  </si>
  <si>
    <t xml:space="preserve">ARTES </t>
  </si>
  <si>
    <t xml:space="preserve">CONSERVATORIO DE MUSICA </t>
  </si>
  <si>
    <t xml:space="preserve">FORMATO DE PROGRAMA - ASIGNATURA DE PREGRADO                                                                        </t>
  </si>
  <si>
    <t>Antropología -Bogotá</t>
  </si>
  <si>
    <t>Bogotá </t>
  </si>
  <si>
    <t>Ciencias - Bogotá</t>
  </si>
  <si>
    <t xml:space="preserve">ESCUELA DE ARQUITECTURA Y URBANISMO             </t>
  </si>
  <si>
    <t>Arquitectura -Bogotá</t>
  </si>
  <si>
    <t>Caribe </t>
  </si>
  <si>
    <t>Ciencias económicas - Bogotá</t>
  </si>
  <si>
    <t xml:space="preserve">ESCUELA DE ARTES PLASTICAS Y VISUALES                   </t>
  </si>
  <si>
    <t xml:space="preserve">Estimado profesor: tenga presente que este formato aprobado por el Consejo de Facultad constituye el programa-asignatura y es un documento oficial de la Universidad. La información que introduzca se publicará en el portal UNAL-SIA para información de los estudiantes y la comunidad académica en general. Le recomendamos atentamente diligenciar el formato con el mayor esmero posible.Para su diligenciamiento encontrará orientaciones en las casillas que muestran un triángulo rojo en su esquina superior derecha. </t>
  </si>
  <si>
    <t>Artes Plásticas -Bogotá</t>
  </si>
  <si>
    <t>Manizales </t>
  </si>
  <si>
    <t>Ciencias humanas - Bogotá</t>
  </si>
  <si>
    <t xml:space="preserve">ESCUELA DE CINE Y TELEVISION </t>
  </si>
  <si>
    <t>Por favor diligencie únicamente las celdas en azul claro.  Escriba el nombre completo de la asignatura usando mayúscula solamente al inicio.  No lo escriba todo en mayúsculas.</t>
  </si>
  <si>
    <t>Día</t>
  </si>
  <si>
    <t>Mes</t>
  </si>
  <si>
    <t>Año</t>
  </si>
  <si>
    <t>Biología  -Bogotá</t>
  </si>
  <si>
    <t>Medellín </t>
  </si>
  <si>
    <t>Derecho, ciencias políticas y sociales - Bogotá</t>
  </si>
  <si>
    <t xml:space="preserve">ESCUELA DE DISENO GRAFICO </t>
  </si>
  <si>
    <t>FECHA DE DILIGENCIAMIENTO:</t>
  </si>
  <si>
    <t>Ciencia Política -Bogotá</t>
  </si>
  <si>
    <t>Orinoquia </t>
  </si>
  <si>
    <t>Enfermería - Bogotá</t>
  </si>
  <si>
    <t xml:space="preserve">ESCUELA DE DISENO INDUSTRIAL                 </t>
  </si>
  <si>
    <t xml:space="preserve">PARA CREACIÓN DE UNA ASIGNATURA   </t>
  </si>
  <si>
    <t>Contaduría Pública -Bogotá</t>
  </si>
  <si>
    <t>Medicina - Bogotá</t>
  </si>
  <si>
    <t>INSTITUTO DE ESTUDIOS URBANOS</t>
  </si>
  <si>
    <t xml:space="preserve">1. IDENTIFICACIÓN DE LA ASIGNATURA </t>
  </si>
  <si>
    <t>Diseño Gráfico  -Bogotá</t>
  </si>
  <si>
    <t>Odontologia - Bogotá</t>
  </si>
  <si>
    <t xml:space="preserve">CIENCIAS </t>
  </si>
  <si>
    <t xml:space="preserve">DEPARTAMENTO DE BIOLOGIA                     </t>
  </si>
  <si>
    <t>1.1. CÓDIGO DE LA ASIGNATURA</t>
  </si>
  <si>
    <t>Diseño Industrial  -Bogotá</t>
  </si>
  <si>
    <t>Administración - Manizales</t>
  </si>
  <si>
    <t>Manizales</t>
  </si>
  <si>
    <t xml:space="preserve">DEPARTAMENTO DE ESTADISTICA            </t>
  </si>
  <si>
    <t>1.2. NOMBRE DE LA ASIGNATURA</t>
  </si>
  <si>
    <t>Economía -Bogotá</t>
  </si>
  <si>
    <t>Ciencias exactas y naturales - Manizales</t>
  </si>
  <si>
    <t xml:space="preserve">DEPARTAMENTO DE FARMACIA </t>
  </si>
  <si>
    <t>1.3. SEDE</t>
  </si>
  <si>
    <t>Medellín</t>
  </si>
  <si>
    <t>Enfermería -Bogotá</t>
  </si>
  <si>
    <t>Ingeniería y arquitectura - Manizales</t>
  </si>
  <si>
    <t xml:space="preserve">DEPARTAMENTO DE FISICA                                  </t>
  </si>
  <si>
    <t>1.4. FACULTAD</t>
  </si>
  <si>
    <t>Minas</t>
  </si>
  <si>
    <t>Español y Filología Clásica -Bogotá</t>
  </si>
  <si>
    <t>Arquitectura - Medellín</t>
  </si>
  <si>
    <t xml:space="preserve">DEPARTAMENTO DE GEOCIENCIAS                     </t>
  </si>
  <si>
    <t>1.5. UNIDAD QUE OFRECE LA ASIGNATURA</t>
  </si>
  <si>
    <t>Departamento de Ciencias de la Computación y la Decisión</t>
  </si>
  <si>
    <t>Estadística -Bogotá</t>
  </si>
  <si>
    <t>Cencias - Medellín</t>
  </si>
  <si>
    <t xml:space="preserve">DEPARTAMENTO DE MATEMATICAS                           </t>
  </si>
  <si>
    <t>Estudios Literarios -Bogotá</t>
  </si>
  <si>
    <t>Ciencias agropecuarias - Medellín</t>
  </si>
  <si>
    <t xml:space="preserve">DEPARTAMENTO DE QUIMICA                  </t>
  </si>
  <si>
    <r>
      <rPr>
        <b/>
        <sz val="11"/>
        <rFont val="Calibri"/>
        <family val="2"/>
      </rPr>
      <t>2</t>
    </r>
    <r>
      <rPr>
        <sz val="11"/>
        <rFont val="Calibri"/>
        <family val="2"/>
      </rPr>
      <t xml:space="preserve">. </t>
    </r>
    <r>
      <rPr>
        <b/>
        <sz val="11"/>
        <rFont val="Calibri"/>
        <family val="2"/>
      </rPr>
      <t xml:space="preserve">DURACIÓN </t>
    </r>
  </si>
  <si>
    <t>3. VALIDABLE</t>
  </si>
  <si>
    <t>Farmacia -Bogotá</t>
  </si>
  <si>
    <t>Ciencias humanas y económicas - Medellín</t>
  </si>
  <si>
    <t xml:space="preserve">INSTITUTO DE BIOTECNOLOGIA                        </t>
  </si>
  <si>
    <t>A LA SEMANA</t>
  </si>
  <si>
    <t xml:space="preserve">AL SEMESTRE </t>
  </si>
  <si>
    <t>CRÉDITOS</t>
  </si>
  <si>
    <t>Asignatura validable</t>
  </si>
  <si>
    <t>Filología e Idiomas - Alemán -Bogotá</t>
  </si>
  <si>
    <t>Minas - Medellín</t>
  </si>
  <si>
    <t>INSTITUTO DE CIENCIA Y TECNOLOGIA DE ALIMENTOS</t>
  </si>
  <si>
    <t>HAP</t>
  </si>
  <si>
    <t>HAI</t>
  </si>
  <si>
    <t>THS= HAP +HAI</t>
  </si>
  <si>
    <t>No.  de semanas</t>
  </si>
  <si>
    <t>THP= THSxSemanas</t>
  </si>
  <si>
    <t>No. de Créditos</t>
  </si>
  <si>
    <t>Filología e Idiomas - Francés -Bogotá</t>
  </si>
  <si>
    <t>Ciencias agropecuarias - Palmira</t>
  </si>
  <si>
    <t>Palmira</t>
  </si>
  <si>
    <t xml:space="preserve">INSTITUTO DE CIENCIAS NATURALES                                  </t>
  </si>
  <si>
    <t>Asignatura NO validable</t>
  </si>
  <si>
    <t>Filología e Idiomas - Inglés -Bogotá</t>
  </si>
  <si>
    <t>Ingeniería y administración - Palmira</t>
  </si>
  <si>
    <t xml:space="preserve">OBSERVATORIO ASTRONOMICO                      </t>
  </si>
  <si>
    <t>Filología e Idiomas - Humanid Clásicas - Español -Bogotá</t>
  </si>
  <si>
    <t xml:space="preserve">CIENCIAS ECONÓMICAS </t>
  </si>
  <si>
    <t>ESCUELA DE ADMINISTRACION Y CONTADURIA PUBLICA</t>
  </si>
  <si>
    <t xml:space="preserve">4. PORCENTAJE DE ASISTENCIA  </t>
  </si>
  <si>
    <t>Filosofía -Bogotá</t>
  </si>
  <si>
    <t xml:space="preserve">ESCUELA DE ECONOMIA                       </t>
  </si>
  <si>
    <t>%</t>
  </si>
  <si>
    <t>Total de horas presenciales al semestre= HAP x Semanas</t>
  </si>
  <si>
    <t>Mínimo de horas presenciales</t>
  </si>
  <si>
    <t>Física -Bogotá</t>
  </si>
  <si>
    <t xml:space="preserve">INSTITUTO DE ESTUDIOS AMBIENTALES                     </t>
  </si>
  <si>
    <t>Fisioterapia -Bogotá</t>
  </si>
  <si>
    <t xml:space="preserve">CIENCIAS HUMANAS </t>
  </si>
  <si>
    <t xml:space="preserve">CENTRO DE ESTUDIOS SOCIALES </t>
  </si>
  <si>
    <r>
      <rPr>
        <b/>
        <sz val="11"/>
        <rFont val="Calibri"/>
        <family val="2"/>
      </rPr>
      <t xml:space="preserve">5. REQUISITOS DE LA ASIGNATURA   </t>
    </r>
    <r>
      <rPr>
        <b/>
        <sz val="11"/>
        <color rgb="FF0000FF"/>
        <rFont val="Calibri"/>
        <family val="2"/>
      </rPr>
      <t xml:space="preserve"> </t>
    </r>
  </si>
  <si>
    <t>Fonoaudiología -Bogotá</t>
  </si>
  <si>
    <t xml:space="preserve">DEPARTAMENTO DE ANTROPOLOGIA              </t>
  </si>
  <si>
    <t>CÓDIGO</t>
  </si>
  <si>
    <t>NOMBRE DE LA ASIGNATURA</t>
  </si>
  <si>
    <t>TIPO DE REQUISITO</t>
  </si>
  <si>
    <t>Geografía -Bogotá</t>
  </si>
  <si>
    <t>DIA</t>
  </si>
  <si>
    <t>MES</t>
  </si>
  <si>
    <t>AÑO</t>
  </si>
  <si>
    <t xml:space="preserve">DEPARTAMENTO DE FILOSOFIA </t>
  </si>
  <si>
    <t>Geología -Bogotá</t>
  </si>
  <si>
    <t>enero</t>
  </si>
  <si>
    <t xml:space="preserve">DEPARTAMENTO DE GEOGRAFIA       </t>
  </si>
  <si>
    <t>Ingeniería de Sistemas  -Bogotá</t>
  </si>
  <si>
    <t>junio</t>
  </si>
  <si>
    <t xml:space="preserve">DEPARTAMENTO DE SICOLOGIA </t>
  </si>
  <si>
    <t>Ingeniería Eléctrica  -Bogotá</t>
  </si>
  <si>
    <t>julio</t>
  </si>
  <si>
    <t xml:space="preserve">DEPARTAMENTO DE SOCIOLOGIA </t>
  </si>
  <si>
    <t>6. PLANES DE ESTUDIO A LOS QUE SE ASOCIA LA ASIGNATURA (Si la asignatura es de LIBRE ELECCIÓN pase al punto 7)</t>
  </si>
  <si>
    <t>Ingenieria Electrónica  -Bogotá</t>
  </si>
  <si>
    <t>agosto</t>
  </si>
  <si>
    <t xml:space="preserve">DEPARTAMENTO DE TRABAJO SOCIAL </t>
  </si>
  <si>
    <t xml:space="preserve">CÓDIGO </t>
  </si>
  <si>
    <t>NOMBRE DEL PLAN DE ESTUDIOS</t>
  </si>
  <si>
    <t>AGRUPACIÓN</t>
  </si>
  <si>
    <t>OBLIGATORIA / OPTATIVA</t>
  </si>
  <si>
    <t>Ingeniería Industrial  -Bogotá</t>
  </si>
  <si>
    <t>septiembre</t>
  </si>
  <si>
    <t xml:space="preserve">ESCUELA DE ESTUDIOS DE GENERO        </t>
  </si>
  <si>
    <t>Ingeniería Mecatrónica  -Bogotá</t>
  </si>
  <si>
    <t>noviembre</t>
  </si>
  <si>
    <t xml:space="preserve">INSTITUTO DE ESTUDIOS EN COMUNICACIONES                </t>
  </si>
  <si>
    <t>Música Instrumental -Bogotá</t>
  </si>
  <si>
    <t xml:space="preserve">INSTITUTO DE ESTUDIOS POLITICOS Y RELACIONES INTERNACIONALES        </t>
  </si>
  <si>
    <t>Nutrición y Dietética -Bogotá</t>
  </si>
  <si>
    <t xml:space="preserve">ENFERMERÍA </t>
  </si>
  <si>
    <t xml:space="preserve">DEPARTAMENTO DE CUIDADO Y PRACTICA DE ENFERMERIA </t>
  </si>
  <si>
    <t>Odontología -Bogotá</t>
  </si>
  <si>
    <t xml:space="preserve">DEPARTAMENTO DE SALUD DE COLECTIVOS </t>
  </si>
  <si>
    <t>Psicología -Bogotá</t>
  </si>
  <si>
    <t xml:space="preserve">INGENIERÍA </t>
  </si>
  <si>
    <t xml:space="preserve">DEPARTAMENTO DE INGENIERIA CIVIL Y AGRICOLA </t>
  </si>
  <si>
    <t xml:space="preserve">7. ASIGNATURA DE LIBRE ELECCIÓN </t>
  </si>
  <si>
    <t xml:space="preserve"> Si</t>
  </si>
  <si>
    <t xml:space="preserve"> No</t>
  </si>
  <si>
    <t>Química  -Bogotá</t>
  </si>
  <si>
    <t>DEPARTAMENTO DE INGENIERIA DE SISTEMAS E INDUSTRIAL</t>
  </si>
  <si>
    <t>Sociología -Bogotá</t>
  </si>
  <si>
    <t>DEPARTAMENTO DE INGENIERIA ELECTRICA Y ELECTRONICA</t>
  </si>
  <si>
    <t>PROGRAMA DE LA ASIGNATURA</t>
  </si>
  <si>
    <t>Terapia Ocupacional -Bogotá</t>
  </si>
  <si>
    <t xml:space="preserve">DEPARTAMENTO DE INGENIERIA MECANICA Y MECATRONICA </t>
  </si>
  <si>
    <t>Trabajo Social  -Bogotá</t>
  </si>
  <si>
    <t xml:space="preserve">DEPARTAMENTO DE INGENIERIA QUIMICA                             </t>
  </si>
  <si>
    <t>8. DESCRIPCIÓN DE LA ASIGNATURA</t>
  </si>
  <si>
    <t>Zootecnia  -Bogotá</t>
  </si>
  <si>
    <t>MEDICINA</t>
  </si>
  <si>
    <t>CENTRO DE TELEMEDICINA</t>
  </si>
  <si>
    <t>Ingeniería Civil -Manizales</t>
  </si>
  <si>
    <t xml:space="preserve">DEPARTAMENTO DE MEDICINA FISICA Y REHABILITACION        </t>
  </si>
  <si>
    <t>Ingeniería Eléctrica  -Manizales</t>
  </si>
  <si>
    <t>Prerrequisito</t>
  </si>
  <si>
    <t xml:space="preserve">DEPARTAMENTO DE MEDICINA INTERNA                                           </t>
  </si>
  <si>
    <t>9. CONTENIDO</t>
  </si>
  <si>
    <t>Ingeniería Electrónica -Manizales</t>
  </si>
  <si>
    <t>Correquisito</t>
  </si>
  <si>
    <t xml:space="preserve">DEPARTAMENTO DE MICROBIOLOGIA                 </t>
  </si>
  <si>
    <t>9.1. CONTENIDO BÁSICO</t>
  </si>
  <si>
    <t>9.2. CONTENIDO DETALLADO</t>
  </si>
  <si>
    <t>Ingeniería Física -Manizales</t>
  </si>
  <si>
    <t xml:space="preserve">DEPARTAMENTO DE MORFOLOGIA                            </t>
  </si>
  <si>
    <t>Índice a partir del cual se muestra, a través de los ítems principales, el contenido de la asignatura.</t>
  </si>
  <si>
    <t>Descripción del contenido de la asignatura especificando cada uno de los ítems del contenido básico.</t>
  </si>
  <si>
    <t>Ingeniería Industrial -Manizales</t>
  </si>
  <si>
    <t xml:space="preserve">DEPARTAMENTO DE MOVIMIENTO CORPORAL HUMANO Y SUS DESORDENES </t>
  </si>
  <si>
    <t>Ingeniería Química -Manizales</t>
  </si>
  <si>
    <t xml:space="preserve">DEPARTAMENTO DE NUTRICION </t>
  </si>
  <si>
    <t>Ciencia Política -Medellín</t>
  </si>
  <si>
    <t xml:space="preserve">DEPARTAMENTO DE PSIQUIATRIA </t>
  </si>
  <si>
    <t>Construcción -Medellín</t>
  </si>
  <si>
    <t xml:space="preserve">DEPARTAMENTO DE SALUD PUBLICA                               </t>
  </si>
  <si>
    <t>Ingeniería Administrativa -Medellín</t>
  </si>
  <si>
    <t xml:space="preserve">INSTITUTO DE INVESTIGACIONES CLINICAS               </t>
  </si>
  <si>
    <t>Ingeniería Agrícola  -Medellín</t>
  </si>
  <si>
    <t xml:space="preserve">INSTITUTO DE SALUD PUBLICA                             </t>
  </si>
  <si>
    <t>Ingeniería Civil -Medellín</t>
  </si>
  <si>
    <t xml:space="preserve">DEPARTAMENTO DE SALUD ORAL </t>
  </si>
  <si>
    <t>Ingeniería de Control -Medellín</t>
  </si>
  <si>
    <t>DEPARTAMENTO DE CIENCIAS BASICAS Y MEDICINA ORAL</t>
  </si>
  <si>
    <t>Ingeniería Eléctrica -Medellín</t>
  </si>
  <si>
    <t>FACULTAD DE CIENCIAS EXACTAS Y NATURALES</t>
  </si>
  <si>
    <t>DEPARTAMENTO DE FISICA Y QUIMICA</t>
  </si>
  <si>
    <t>Ingeniería Física -Medellín</t>
  </si>
  <si>
    <t>DEPARTAMENTO DE MATEMATICAS Y ESTADISTICA</t>
  </si>
  <si>
    <t>Ingeniería Mecánica  -Medellín</t>
  </si>
  <si>
    <t>DEPARTAMENTO DE INGENIERIA QUIMICA</t>
  </si>
  <si>
    <t>Ingeniería Química -Medellín</t>
  </si>
  <si>
    <t>ESCUELA DE ARQUITECTURA Y URBANISMO</t>
  </si>
  <si>
    <t>10. BIBLIOGRAFÍA BÁSICA</t>
  </si>
  <si>
    <t>AUTOR (ES)</t>
  </si>
  <si>
    <t>TÍTULO</t>
  </si>
  <si>
    <t>EDITORIAL - PAÍS</t>
  </si>
  <si>
    <t>11. NOMBRE DEL DIRECTOR DE ÁREA CURRICULAR</t>
  </si>
  <si>
    <t>12. APROBACIÓN DEL CONSEJO DE FACULTAD</t>
  </si>
  <si>
    <t>Fecha del Consejo (dia/mes/año)</t>
  </si>
  <si>
    <t>Acta Número</t>
  </si>
  <si>
    <t>Nota: cuando termine de diligenciar este formato, por favor grábelo con el nombre de la asignatura que propone (o modifica) seguido del nombre de la Unidad Académica que ofrece la asignatura.
Si tiene algún problema al diligenciar el formato, comuníquese con la Dirección Académica de su Sede.</t>
  </si>
  <si>
    <t xml:space="preserve">La Secretaría Académica debe remitir este formato completamente diligenciado a la Dirección Académica de la Sede respectiva vía correo electrónico para que se incluya en el sistema de información. </t>
  </si>
  <si>
    <t>X</t>
  </si>
  <si>
    <t>O’Reilly Media, Estados Unidos</t>
  </si>
  <si>
    <t>Fundamentos de data para analitica</t>
  </si>
  <si>
    <t>Fundamentos de procesamiento por clave--valor</t>
  </si>
  <si>
    <t>Representación e integración para Analytics</t>
  </si>
  <si>
    <t>Transformación y organización analítica</t>
  </si>
  <si>
    <t>Formatos, estructuras y almacenamiento para consumo</t>
  </si>
  <si>
    <t>Adquisición y trazabilidad de fuentes</t>
  </si>
  <si>
    <t>Flujos reproducibles de preparación</t>
  </si>
  <si>
    <t>Confianza: calidad y contratos</t>
  </si>
  <si>
    <t>Continuidad y operación acotada</t>
  </si>
  <si>
    <t>Escala, eventos y tiempo</t>
  </si>
  <si>
    <t>Serving, metadatos y linaje</t>
  </si>
  <si>
    <t>Arquitectura de datos orientada a Analytics</t>
  </si>
  <si>
    <t>Pares clave--valor, consultas MapReduce, paralelismo local, particiones, claves calientes y preagregación. Fundamentos para comprender el procesamiento de grandes volúmenes sin usar clústeres ni plataformas distribuidas.</t>
  </si>
  <si>
    <t>Entidades, claves, relaciones, integridad y SQL para separar, combinar y reconciliar datos, preservando el significado y el grano de los resultados analíticos.</t>
  </si>
  <si>
    <t>Tipado, faltantes, deduplicación, estandarización, grano analítico y construcción de un mart simple para convertir registros operacionales en datos aptos para preguntas recurrentes.</t>
  </si>
  <si>
    <t>Comparación de formatos físicos, particiones y datos semiestructurados según su estructura, acceso y consumidor analítico. No incluye implementación de plataformas lakehouse.</t>
  </si>
  <si>
    <t>Adquisición desde archivos, bases de datos y APIs con controles de completitud, errores y procedencia. Distinción entre datos crudos y datos preparados.</t>
  </si>
  <si>
    <t>Organización de fuentes y capas raw, staging y curated. Validaciones, configuración y ejecución desde estado limpio para transformar procesos manuales en flujos reproducibles.</t>
  </si>
  <si>
    <t>Completitud, validez, unicidad, consistencia y frescura. Contratos de datos para hacer explícita la interfaz, detectar cambios incompatibles y controlar fallas o cuarentenas.</t>
  </si>
  <si>
    <t>Incrementalidad, checkpoints, idempotencia, dependencias, reintentos y fallas deterministas para actualizar datos sin corromper resultados.</t>
  </si>
  <si>
    <t>Particiones, evaluación diferida, eventos, estado, ventanas y llegada tardía como condiciones que modifican decisiones de arquitectura e interpretación de resultados.</t>
  </si>
  <si>
    <t>Exposición de activos curados con grano, esquema y mecanismo apropiados para cada consumidor. Propiedad, catálogo, procedencia y evaluación de impacto.</t>
  </si>
  <si>
    <t>Relación entre fuentes, necesidades de consumidores, procesamiento, controles y decisiones de diseño. Justificación de una arquitectura por requisitos analíticos y riesgos, no por tecnologías de moda.</t>
  </si>
  <si>
    <t>Joe Reis y Matt Housley</t>
  </si>
  <si>
    <t>Fundamentals of Data Engineering: Plan and Build Robust Data Systems</t>
  </si>
  <si>
    <t>Martin Kleppmann</t>
  </si>
  <si>
    <t>Designing Data-Intensive Applications: The Big Ideas Behind Reliable, Scalable, and Maintainable Systems</t>
  </si>
  <si>
    <t>Barr Moses, Lior Gavish y Molly Vorwerck</t>
  </si>
  <si>
    <t>Data Quality Fundamentals: A Practitioner’s Guide to Building Trustworthy Data Pipelines</t>
  </si>
  <si>
    <t>Tyler Akidau, Slava Chernyak y Reuven Lax</t>
  </si>
  <si>
    <t>Streaming Systems: The What, Where, When, and How of Large-Scale Data Processing</t>
  </si>
  <si>
    <t>Cathy Tanimura</t>
  </si>
  <si>
    <t>SQL for Data Analysis: Advanced Techniques for Transforming Data into Insights</t>
  </si>
  <si>
    <t>Fundamentos de Data para Analítica desarrolla la capacidad de convertir fuentes heterogéneas en activos de datos confiables, reproducibles, documentados y adecuados para el consumo analítico. El curso aborda representación e integración de datos, SQL como herramienta de transformación y verificación, formatos y estructuras de almacenamiento, adquisición desde archivos, bases de datos y APIs, y construcción de flujos con capas, validaciones y ejecución reproducible. También estudia calidad, contratos, metadatos, linaje, privacidad, actualización incremental, eventos, ventanas temporales, serving y decisiones de arquitectura orientadas a las necesidades de consumidores analíticos. Mediante minicasos prácticos, los estudiantes producen datasets, vistas, marts, contratos y decisiones de diseño verificables, sin requerir administración de bases de datos, infraestructura cloud ni operación de plataformas de ingeniería de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</si>
</sst>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Calibri"/>
      <scheme val="minor"/>
    </font>
    <font>
      <sz val="10"/>
      <name val="Arial"/>
      <family val="2"/>
    </font>
    <font>
      <sz val="9"/>
      <name val="Arial"/>
      <family val="2"/>
    </font>
    <font>
      <sz val="9"/>
      <name val="Bookman Old Style"/>
      <family val="1"/>
    </font>
    <font>
      <b/>
      <sz val="9"/>
      <color rgb="FF7F7F7F"/>
      <name val="Calibri"/>
      <family val="2"/>
    </font>
    <font>
      <sz val="10"/>
      <name val="Calibri"/>
      <family val="2"/>
    </font>
    <font>
      <b/>
      <sz val="8"/>
      <name val="Arial"/>
      <family val="2"/>
    </font>
    <font>
      <b/>
      <sz val="14"/>
      <name val="Arial"/>
      <family val="2"/>
    </font>
    <font>
      <i/>
      <sz val="10"/>
      <name val="Calibri"/>
      <family val="2"/>
    </font>
    <font>
      <b/>
      <i/>
      <sz val="11"/>
      <color rgb="FF0000FF"/>
      <name val="Calibri"/>
      <family val="2"/>
    </font>
    <font>
      <sz val="10"/>
      <name val="Calibri"/>
      <family val="2"/>
    </font>
    <font>
      <b/>
      <sz val="10"/>
      <name val="Calibri"/>
      <family val="2"/>
    </font>
    <font>
      <b/>
      <sz val="11"/>
      <name val="Calibri"/>
      <family val="2"/>
    </font>
    <font>
      <i/>
      <sz val="11"/>
      <name val="Calibri"/>
      <family val="2"/>
    </font>
    <font>
      <sz val="11"/>
      <name val="Calibri"/>
      <family val="2"/>
    </font>
    <font>
      <sz val="16"/>
      <name val="Calibri"/>
      <family val="2"/>
    </font>
    <font>
      <b/>
      <sz val="9"/>
      <name val="Bookman Old Style"/>
      <family val="1"/>
    </font>
    <font>
      <sz val="10"/>
      <color rgb="FF0000FF"/>
      <name val="Calibri"/>
      <family val="2"/>
    </font>
    <font>
      <b/>
      <sz val="16"/>
      <name val="Calibri"/>
      <family val="2"/>
    </font>
    <font>
      <b/>
      <sz val="12"/>
      <name val="Calibri"/>
      <family val="2"/>
    </font>
    <font>
      <sz val="9"/>
      <name val="Century Gothic"/>
      <family val="1"/>
    </font>
    <font>
      <b/>
      <sz val="10"/>
      <color rgb="FF0000FF"/>
      <name val="Calibri"/>
      <family val="2"/>
    </font>
    <font>
      <b/>
      <i/>
      <sz val="10"/>
      <color rgb="FF0000FF"/>
      <name val="Calibri"/>
      <family val="2"/>
    </font>
    <font>
      <b/>
      <sz val="11"/>
      <color rgb="FF0000FF"/>
      <name val="Calibri"/>
      <family val="2"/>
    </font>
    <font>
      <sz val="16"/>
      <name val="Calibri"/>
      <family val="2"/>
    </font>
    <font>
      <b/>
      <sz val="11"/>
      <name val="Calibri"/>
      <family val="2"/>
    </font>
    <font>
      <sz val="11"/>
      <name val="Calibri"/>
      <family val="2"/>
    </font>
    <font>
      <sz val="10"/>
      <color rgb="FF000000"/>
      <name val="Calibri"/>
      <family val="2"/>
      <scheme val="minor"/>
    </font>
  </fonts>
  <fills count="4">
    <fill>
      <patternFill patternType="none"/>
    </fill>
    <fill>
      <patternFill patternType="gray125"/>
    </fill>
    <fill>
      <patternFill patternType="solid">
        <fgColor rgb="FFD8D8D8"/>
        <bgColor rgb="FFD8D8D8"/>
      </patternFill>
    </fill>
    <fill>
      <patternFill patternType="solid">
        <fgColor rgb="FFF2F2F2"/>
        <bgColor rgb="FFF2F2F2"/>
      </patternFill>
    </fill>
  </fills>
  <borders count="80">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double">
        <color rgb="FF000000"/>
      </bottom>
      <diagonal/>
    </border>
    <border>
      <left style="thin">
        <color rgb="FF000000"/>
      </left>
      <right style="thin">
        <color rgb="FF000000"/>
      </right>
      <top/>
      <bottom style="double">
        <color rgb="FF000000"/>
      </bottom>
      <diagonal/>
    </border>
    <border>
      <left/>
      <right style="medium">
        <color rgb="FF000000"/>
      </right>
      <top/>
      <bottom style="double">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style="medium">
        <color rgb="FF000000"/>
      </right>
      <top/>
      <bottom/>
      <diagonal/>
    </border>
    <border>
      <left style="thin">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medium">
        <color rgb="FF000000"/>
      </right>
      <top style="thin">
        <color rgb="FF000000"/>
      </top>
      <bottom style="double">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top style="thin">
        <color rgb="FF000000"/>
      </top>
      <bottom/>
      <diagonal/>
    </border>
    <border>
      <left/>
      <right/>
      <top/>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slantDashDot">
        <color rgb="FF000000"/>
      </bottom>
      <diagonal/>
    </border>
    <border>
      <left/>
      <right/>
      <top style="thin">
        <color rgb="FF000000"/>
      </top>
      <bottom style="slantDashDot">
        <color rgb="FF000000"/>
      </bottom>
      <diagonal/>
    </border>
    <border>
      <left/>
      <right style="medium">
        <color rgb="FF000000"/>
      </right>
      <top style="thin">
        <color rgb="FF000000"/>
      </top>
      <bottom style="slantDashDot">
        <color rgb="FF000000"/>
      </bottom>
      <diagonal/>
    </border>
  </borders>
  <cellStyleXfs count="1">
    <xf numFmtId="0" fontId="0" fillId="0" borderId="0"/>
  </cellStyleXfs>
  <cellXfs count="178">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1" fillId="0" borderId="5" xfId="0" applyFont="1" applyBorder="1" applyAlignment="1">
      <alignment vertical="center"/>
    </xf>
    <xf numFmtId="0" fontId="6" fillId="0" borderId="0" xfId="0" applyFont="1" applyAlignment="1">
      <alignment vertical="center" wrapText="1"/>
    </xf>
    <xf numFmtId="0" fontId="1" fillId="0" borderId="10" xfId="0" applyFont="1" applyBorder="1" applyAlignment="1">
      <alignment horizontal="center" vertical="center"/>
    </xf>
    <xf numFmtId="15" fontId="1" fillId="0" borderId="5" xfId="0" applyNumberFormat="1" applyFont="1" applyBorder="1" applyAlignment="1">
      <alignment horizontal="left" vertical="center"/>
    </xf>
    <xf numFmtId="0" fontId="1" fillId="0" borderId="11" xfId="0" applyFont="1" applyBorder="1" applyAlignment="1">
      <alignment horizontal="left" vertical="center"/>
    </xf>
    <xf numFmtId="0" fontId="1" fillId="0" borderId="5" xfId="0" applyFont="1" applyBorder="1" applyAlignment="1">
      <alignment horizontal="left" vertical="center"/>
    </xf>
    <xf numFmtId="0" fontId="9" fillId="0" borderId="25" xfId="0" applyFont="1" applyBorder="1" applyAlignment="1">
      <alignment horizontal="left" vertical="center" wrapText="1"/>
    </xf>
    <xf numFmtId="0" fontId="10" fillId="0" borderId="0" xfId="0" applyFont="1" applyAlignment="1">
      <alignment vertical="center"/>
    </xf>
    <xf numFmtId="0" fontId="10" fillId="0" borderId="0" xfId="0" applyFont="1" applyAlignment="1">
      <alignment vertical="center" wrapText="1"/>
    </xf>
    <xf numFmtId="0" fontId="10" fillId="0" borderId="26" xfId="0" applyFont="1" applyBorder="1" applyAlignment="1">
      <alignment horizontal="center" vertical="center" wrapText="1"/>
    </xf>
    <xf numFmtId="0" fontId="11" fillId="0" borderId="0" xfId="0" applyFont="1" applyAlignment="1">
      <alignment horizontal="center" vertical="center" wrapText="1"/>
    </xf>
    <xf numFmtId="1" fontId="10" fillId="0" borderId="28" xfId="0" applyNumberFormat="1" applyFont="1" applyBorder="1" applyAlignment="1">
      <alignment horizontal="center" vertical="center" wrapText="1"/>
    </xf>
    <xf numFmtId="1" fontId="10" fillId="0" borderId="25" xfId="0" applyNumberFormat="1" applyFont="1" applyBorder="1" applyAlignment="1">
      <alignment horizontal="center" vertical="center" wrapText="1"/>
    </xf>
    <xf numFmtId="0" fontId="11" fillId="0" borderId="32" xfId="0" applyFont="1" applyBorder="1" applyAlignment="1">
      <alignment horizontal="left" vertical="center"/>
    </xf>
    <xf numFmtId="0" fontId="11" fillId="0" borderId="32" xfId="0" applyFont="1" applyBorder="1" applyAlignment="1">
      <alignment horizontal="center" vertical="center"/>
    </xf>
    <xf numFmtId="0" fontId="3" fillId="0" borderId="5" xfId="0" applyFont="1" applyBorder="1" applyAlignment="1">
      <alignment horizontal="center" vertical="center" wrapText="1"/>
    </xf>
    <xf numFmtId="0" fontId="10" fillId="0" borderId="45" xfId="0" applyFont="1" applyBorder="1" applyAlignment="1">
      <alignment horizontal="left" vertical="center" wrapText="1"/>
    </xf>
    <xf numFmtId="0" fontId="11" fillId="2" borderId="46" xfId="0" applyFont="1" applyFill="1" applyBorder="1" applyAlignment="1">
      <alignment horizontal="center" vertical="center" wrapText="1"/>
    </xf>
    <xf numFmtId="0" fontId="11" fillId="0" borderId="50" xfId="0" applyFont="1" applyBorder="1" applyAlignment="1">
      <alignment horizontal="center" vertical="center" wrapText="1"/>
    </xf>
    <xf numFmtId="0" fontId="10" fillId="0" borderId="0" xfId="0" applyFont="1" applyAlignment="1">
      <alignment horizontal="center" vertical="center"/>
    </xf>
    <xf numFmtId="0" fontId="1" fillId="0" borderId="5" xfId="0" applyFont="1" applyBorder="1" applyAlignment="1">
      <alignment horizontal="center" vertical="center"/>
    </xf>
    <xf numFmtId="0" fontId="1" fillId="0" borderId="11" xfId="0" applyFont="1" applyBorder="1" applyAlignment="1">
      <alignment horizontal="center" vertical="center"/>
    </xf>
    <xf numFmtId="0" fontId="10" fillId="0" borderId="52" xfId="0" applyFont="1" applyBorder="1" applyAlignment="1">
      <alignment horizontal="center" vertical="center" wrapText="1"/>
    </xf>
    <xf numFmtId="0" fontId="10" fillId="0" borderId="18" xfId="0" applyFont="1" applyBorder="1" applyAlignment="1">
      <alignment horizontal="center" vertical="center" wrapText="1"/>
    </xf>
    <xf numFmtId="0" fontId="10" fillId="3" borderId="53" xfId="0" applyFont="1" applyFill="1" applyBorder="1" applyAlignment="1">
      <alignment horizontal="center" vertical="center" wrapText="1"/>
    </xf>
    <xf numFmtId="1" fontId="10" fillId="3" borderId="53" xfId="0" applyNumberFormat="1" applyFont="1" applyFill="1" applyBorder="1" applyAlignment="1">
      <alignment horizontal="center" vertical="center" wrapText="1"/>
    </xf>
    <xf numFmtId="0" fontId="15" fillId="0" borderId="55" xfId="0" applyFont="1" applyBorder="1" applyAlignment="1">
      <alignment horizontal="center" vertical="center" wrapText="1"/>
    </xf>
    <xf numFmtId="0" fontId="10" fillId="0" borderId="0" xfId="0" applyFont="1" applyAlignment="1">
      <alignment horizontal="center" vertical="center" wrapText="1"/>
    </xf>
    <xf numFmtId="0" fontId="10" fillId="0" borderId="56" xfId="0" applyFont="1" applyBorder="1" applyAlignment="1">
      <alignment horizontal="center" vertical="center" wrapText="1"/>
    </xf>
    <xf numFmtId="0" fontId="1" fillId="0" borderId="57" xfId="0" applyFont="1" applyBorder="1" applyAlignment="1">
      <alignment horizontal="center" vertical="center" wrapText="1"/>
    </xf>
    <xf numFmtId="0" fontId="10" fillId="3" borderId="60" xfId="0" applyFont="1" applyFill="1" applyBorder="1" applyAlignment="1">
      <alignment horizontal="center" vertical="center" wrapText="1"/>
    </xf>
    <xf numFmtId="1" fontId="10" fillId="3" borderId="28" xfId="0" applyNumberFormat="1" applyFont="1" applyFill="1" applyBorder="1" applyAlignment="1">
      <alignment horizontal="center" vertical="center" wrapText="1"/>
    </xf>
    <xf numFmtId="0" fontId="1" fillId="0" borderId="0" xfId="0" applyFont="1" applyAlignment="1">
      <alignment horizontal="center" vertical="center" wrapText="1"/>
    </xf>
    <xf numFmtId="0" fontId="1" fillId="0" borderId="10"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1" xfId="0" applyFont="1" applyBorder="1" applyAlignment="1">
      <alignment horizontal="center" vertical="center" wrapText="1"/>
    </xf>
    <xf numFmtId="0" fontId="11" fillId="2" borderId="10" xfId="0" applyFont="1" applyFill="1" applyBorder="1" applyAlignment="1">
      <alignment horizontal="center" vertical="center" wrapText="1"/>
    </xf>
    <xf numFmtId="0" fontId="10" fillId="0" borderId="10" xfId="0" applyFont="1" applyBorder="1" applyAlignment="1">
      <alignment vertical="center" wrapText="1"/>
    </xf>
    <xf numFmtId="0" fontId="10" fillId="0" borderId="62" xfId="0" applyFont="1" applyBorder="1" applyAlignment="1">
      <alignment vertical="center" wrapText="1"/>
    </xf>
    <xf numFmtId="0" fontId="17" fillId="0" borderId="0" xfId="0" applyFont="1" applyAlignment="1">
      <alignment vertical="center"/>
    </xf>
    <xf numFmtId="0" fontId="11" fillId="2" borderId="5" xfId="0" applyFont="1" applyFill="1" applyBorder="1" applyAlignment="1">
      <alignment vertical="center" wrapText="1"/>
    </xf>
    <xf numFmtId="0" fontId="10" fillId="3" borderId="10" xfId="0" applyFont="1" applyFill="1" applyBorder="1" applyAlignment="1">
      <alignment horizontal="center" vertical="center"/>
    </xf>
    <xf numFmtId="0" fontId="10" fillId="0" borderId="5" xfId="0" applyFont="1" applyBorder="1" applyAlignment="1">
      <alignment horizontal="center" vertical="center" wrapText="1"/>
    </xf>
    <xf numFmtId="0" fontId="10" fillId="3" borderId="62" xfId="0" applyFont="1" applyFill="1" applyBorder="1" applyAlignment="1">
      <alignment horizontal="center" vertical="center"/>
    </xf>
    <xf numFmtId="0" fontId="10" fillId="0" borderId="63" xfId="0" applyFont="1" applyBorder="1" applyAlignment="1">
      <alignment horizontal="center" vertical="center" wrapText="1"/>
    </xf>
    <xf numFmtId="0" fontId="12" fillId="2" borderId="65" xfId="0" applyFont="1" applyFill="1" applyBorder="1" applyAlignment="1">
      <alignment horizontal="left" vertical="center"/>
    </xf>
    <xf numFmtId="0" fontId="18" fillId="2" borderId="65" xfId="0" applyFont="1" applyFill="1" applyBorder="1" applyAlignment="1">
      <alignment horizontal="left" vertical="center"/>
    </xf>
    <xf numFmtId="0" fontId="12" fillId="2" borderId="53" xfId="0" applyFont="1" applyFill="1" applyBorder="1" applyAlignment="1">
      <alignment horizontal="left" vertical="center"/>
    </xf>
    <xf numFmtId="0" fontId="1" fillId="0" borderId="66" xfId="0" applyFont="1" applyBorder="1" applyAlignment="1">
      <alignment horizontal="center" vertical="center"/>
    </xf>
    <xf numFmtId="0" fontId="1" fillId="0" borderId="67" xfId="0" applyFont="1" applyBorder="1" applyAlignment="1">
      <alignment horizontal="left" vertical="center"/>
    </xf>
    <xf numFmtId="0" fontId="1" fillId="0" borderId="68" xfId="0" applyFont="1" applyBorder="1" applyAlignment="1">
      <alignment horizontal="left" vertical="center"/>
    </xf>
    <xf numFmtId="0" fontId="1" fillId="0" borderId="25" xfId="0" applyFont="1" applyBorder="1" applyAlignment="1">
      <alignment vertical="center"/>
    </xf>
    <xf numFmtId="0" fontId="1" fillId="0" borderId="31" xfId="0" applyFont="1" applyBorder="1" applyAlignment="1">
      <alignment vertical="center"/>
    </xf>
    <xf numFmtId="0" fontId="1" fillId="0" borderId="5" xfId="0" applyFont="1" applyBorder="1" applyAlignment="1">
      <alignment vertical="center" wrapText="1"/>
    </xf>
    <xf numFmtId="0" fontId="1" fillId="0" borderId="69" xfId="0" applyFont="1" applyBorder="1" applyAlignment="1">
      <alignment horizontal="center" vertical="center"/>
    </xf>
    <xf numFmtId="0" fontId="1" fillId="0" borderId="70" xfId="0" applyFont="1" applyBorder="1" applyAlignment="1">
      <alignment horizontal="left" vertical="center"/>
    </xf>
    <xf numFmtId="0" fontId="1" fillId="0" borderId="71" xfId="0" applyFont="1" applyBorder="1" applyAlignment="1">
      <alignment horizontal="left" vertical="center"/>
    </xf>
    <xf numFmtId="0" fontId="1" fillId="0" borderId="4" xfId="0" applyFont="1" applyBorder="1" applyAlignment="1">
      <alignment vertical="center"/>
    </xf>
    <xf numFmtId="0" fontId="1" fillId="0" borderId="0" xfId="0" applyFont="1"/>
    <xf numFmtId="0" fontId="10" fillId="0" borderId="0" xfId="0" applyFont="1" applyAlignment="1">
      <alignment horizontal="left" vertical="center" wrapText="1"/>
    </xf>
    <xf numFmtId="0" fontId="11" fillId="2" borderId="11" xfId="0" applyFont="1" applyFill="1" applyBorder="1" applyAlignment="1">
      <alignment horizontal="center" vertical="center" wrapText="1"/>
    </xf>
    <xf numFmtId="0" fontId="10" fillId="0" borderId="11" xfId="0" applyFont="1" applyBorder="1" applyAlignment="1">
      <alignment horizontal="center" vertical="center" wrapText="1"/>
    </xf>
    <xf numFmtId="0" fontId="10" fillId="0" borderId="74" xfId="0" applyFont="1" applyBorder="1" applyAlignment="1">
      <alignment horizontal="center" vertical="center" wrapText="1"/>
    </xf>
    <xf numFmtId="0" fontId="10" fillId="0" borderId="0" xfId="0" applyFont="1" applyAlignment="1">
      <alignment horizontal="left" vertical="center"/>
    </xf>
    <xf numFmtId="0" fontId="5" fillId="0" borderId="30" xfId="0" applyFont="1" applyBorder="1"/>
    <xf numFmtId="0" fontId="5" fillId="0" borderId="27" xfId="0" applyFont="1" applyBorder="1"/>
    <xf numFmtId="0" fontId="5" fillId="0" borderId="26" xfId="0" applyFont="1" applyBorder="1"/>
    <xf numFmtId="0" fontId="5" fillId="0" borderId="59" xfId="0" applyFont="1" applyBorder="1"/>
    <xf numFmtId="0" fontId="5" fillId="0" borderId="49" xfId="0" applyFont="1" applyBorder="1"/>
    <xf numFmtId="0" fontId="5" fillId="0" borderId="54" xfId="0" applyFont="1" applyBorder="1"/>
    <xf numFmtId="0" fontId="25" fillId="2" borderId="65" xfId="0" applyFont="1" applyFill="1" applyBorder="1" applyAlignment="1">
      <alignment horizontal="left" vertical="center"/>
    </xf>
    <xf numFmtId="0" fontId="14" fillId="0" borderId="38" xfId="0" applyFont="1" applyBorder="1" applyAlignment="1">
      <alignment vertical="center" wrapText="1"/>
    </xf>
    <xf numFmtId="0" fontId="5" fillId="0" borderId="72" xfId="0" applyFont="1" applyBorder="1"/>
    <xf numFmtId="0" fontId="5" fillId="0" borderId="73" xfId="0" applyFont="1" applyBorder="1"/>
    <xf numFmtId="0" fontId="14" fillId="0" borderId="38" xfId="0" applyFont="1" applyBorder="1" applyAlignment="1">
      <alignment horizontal="left" vertical="center" wrapText="1"/>
    </xf>
    <xf numFmtId="0" fontId="5" fillId="0" borderId="30" xfId="0" applyFont="1" applyBorder="1" applyAlignment="1">
      <alignment horizontal="left"/>
    </xf>
    <xf numFmtId="0" fontId="10" fillId="0" borderId="54" xfId="0" applyFont="1" applyBorder="1" applyAlignment="1">
      <alignment horizontal="left" vertical="center" wrapText="1"/>
    </xf>
    <xf numFmtId="0" fontId="5" fillId="0" borderId="26" xfId="0" applyFont="1" applyBorder="1"/>
    <xf numFmtId="0" fontId="12" fillId="2" borderId="33" xfId="0" applyFont="1" applyFill="1" applyBorder="1" applyAlignment="1">
      <alignment horizontal="left" vertical="center" wrapText="1"/>
    </xf>
    <xf numFmtId="0" fontId="5" fillId="0" borderId="34" xfId="0" applyFont="1" applyBorder="1"/>
    <xf numFmtId="0" fontId="5" fillId="0" borderId="37" xfId="0" applyFont="1" applyBorder="1"/>
    <xf numFmtId="0" fontId="10" fillId="0" borderId="58" xfId="0" applyFont="1" applyBorder="1" applyAlignment="1">
      <alignment horizontal="center" vertical="center" wrapText="1"/>
    </xf>
    <xf numFmtId="0" fontId="5" fillId="0" borderId="59" xfId="0" applyFont="1" applyBorder="1"/>
    <xf numFmtId="0" fontId="11" fillId="2" borderId="29" xfId="0" applyFont="1" applyFill="1" applyBorder="1" applyAlignment="1">
      <alignment horizontal="center" vertical="center" wrapText="1"/>
    </xf>
    <xf numFmtId="0" fontId="5" fillId="0" borderId="30" xfId="0" applyFont="1" applyBorder="1"/>
    <xf numFmtId="0" fontId="5" fillId="0" borderId="31" xfId="0" applyFont="1" applyBorder="1"/>
    <xf numFmtId="0" fontId="5" fillId="0" borderId="39" xfId="0" applyFont="1" applyBorder="1"/>
    <xf numFmtId="0" fontId="14" fillId="0" borderId="29" xfId="0" applyFont="1" applyBorder="1" applyAlignment="1">
      <alignment horizontal="left" vertical="center" wrapText="1"/>
    </xf>
    <xf numFmtId="0" fontId="14" fillId="0" borderId="30" xfId="0" applyFont="1" applyBorder="1" applyAlignment="1">
      <alignment horizontal="left" vertical="center" wrapText="1"/>
    </xf>
    <xf numFmtId="0" fontId="14" fillId="0" borderId="39" xfId="0" applyFont="1" applyBorder="1" applyAlignment="1">
      <alignment horizontal="left" vertical="center" wrapText="1"/>
    </xf>
    <xf numFmtId="0" fontId="10" fillId="0" borderId="38" xfId="0" applyFont="1" applyBorder="1" applyAlignment="1">
      <alignment horizontal="left" vertical="center" wrapText="1"/>
    </xf>
    <xf numFmtId="0" fontId="13" fillId="0" borderId="29" xfId="0" applyFont="1" applyBorder="1" applyAlignment="1">
      <alignment horizontal="left" vertical="center" wrapText="1"/>
    </xf>
    <xf numFmtId="0" fontId="11" fillId="2" borderId="16" xfId="0" applyFont="1" applyFill="1" applyBorder="1" applyAlignment="1">
      <alignment horizontal="center" vertical="center" wrapText="1"/>
    </xf>
    <xf numFmtId="0" fontId="5" fillId="0" borderId="17" xfId="0" applyFont="1" applyBorder="1"/>
    <xf numFmtId="0" fontId="5" fillId="0" borderId="18" xfId="0" applyFont="1" applyBorder="1"/>
    <xf numFmtId="0" fontId="10" fillId="0" borderId="47" xfId="0" applyFont="1" applyBorder="1" applyAlignment="1">
      <alignment horizontal="left" vertical="center" wrapText="1"/>
    </xf>
    <xf numFmtId="0" fontId="5" fillId="0" borderId="48" xfId="0" applyFont="1" applyBorder="1"/>
    <xf numFmtId="0" fontId="5" fillId="0" borderId="51" xfId="0" applyFont="1" applyBorder="1"/>
    <xf numFmtId="0" fontId="0" fillId="0" borderId="0" xfId="0"/>
    <xf numFmtId="0" fontId="24" fillId="0" borderId="49" xfId="0" applyFont="1" applyBorder="1" applyAlignment="1">
      <alignment horizontal="center" vertical="center" wrapText="1"/>
    </xf>
    <xf numFmtId="0" fontId="5" fillId="0" borderId="27" xfId="0" applyFont="1" applyBorder="1"/>
    <xf numFmtId="0" fontId="13" fillId="0" borderId="43" xfId="0" applyFont="1" applyBorder="1" applyAlignment="1">
      <alignment horizontal="left" vertical="center" wrapText="1"/>
    </xf>
    <xf numFmtId="0" fontId="5" fillId="0" borderId="41" xfId="0" applyFont="1" applyBorder="1"/>
    <xf numFmtId="0" fontId="5" fillId="0" borderId="44" xfId="0" applyFont="1" applyBorder="1"/>
    <xf numFmtId="0" fontId="5" fillId="0" borderId="40" xfId="0" applyFont="1" applyBorder="1" applyAlignment="1">
      <alignment horizontal="left" vertical="top" wrapText="1"/>
    </xf>
    <xf numFmtId="0" fontId="5" fillId="0" borderId="41" xfId="0" applyFont="1" applyBorder="1" applyAlignment="1">
      <alignment horizontal="left" vertical="top" wrapText="1"/>
    </xf>
    <xf numFmtId="0" fontId="5" fillId="0" borderId="44" xfId="0" applyFont="1" applyBorder="1" applyAlignment="1">
      <alignment horizontal="left" vertical="top" wrapText="1"/>
    </xf>
    <xf numFmtId="0" fontId="10" fillId="0" borderId="29" xfId="0" applyFont="1" applyBorder="1" applyAlignment="1">
      <alignment horizontal="left" vertical="center" wrapText="1"/>
    </xf>
    <xf numFmtId="0" fontId="10" fillId="0" borderId="61" xfId="0" applyFont="1" applyBorder="1" applyAlignment="1">
      <alignment horizontal="center" vertical="center"/>
    </xf>
    <xf numFmtId="0" fontId="5" fillId="0" borderId="49" xfId="0" applyFont="1" applyBorder="1"/>
    <xf numFmtId="0" fontId="10" fillId="0" borderId="29" xfId="0" applyFont="1" applyBorder="1" applyAlignment="1">
      <alignment horizontal="center" vertical="center" wrapText="1"/>
    </xf>
    <xf numFmtId="0" fontId="14" fillId="0" borderId="38" xfId="0" applyFont="1" applyBorder="1" applyAlignment="1">
      <alignment horizontal="left" vertical="center" wrapText="1"/>
    </xf>
    <xf numFmtId="0" fontId="26" fillId="0" borderId="30" xfId="0" applyFont="1" applyBorder="1" applyAlignment="1">
      <alignment horizontal="left" vertical="center" wrapText="1"/>
    </xf>
    <xf numFmtId="0" fontId="26" fillId="0" borderId="31" xfId="0" applyFont="1" applyBorder="1" applyAlignment="1">
      <alignment horizontal="left" vertical="center" wrapText="1"/>
    </xf>
    <xf numFmtId="0" fontId="3" fillId="0" borderId="4" xfId="0" applyFont="1" applyBorder="1" applyAlignment="1">
      <alignment horizontal="center" vertical="center" wrapText="1"/>
    </xf>
    <xf numFmtId="0" fontId="5" fillId="0" borderId="15" xfId="0" applyFont="1" applyBorder="1"/>
    <xf numFmtId="0" fontId="5" fillId="0" borderId="9" xfId="0" applyFont="1" applyBorder="1"/>
    <xf numFmtId="0" fontId="20" fillId="0" borderId="4" xfId="0" applyFont="1" applyBorder="1" applyAlignment="1">
      <alignment horizontal="center" vertical="center"/>
    </xf>
    <xf numFmtId="0" fontId="12" fillId="2" borderId="16" xfId="0" applyFont="1" applyFill="1" applyBorder="1" applyAlignment="1">
      <alignment horizontal="left" vertical="center"/>
    </xf>
    <xf numFmtId="0" fontId="5" fillId="0" borderId="64" xfId="0" applyFont="1" applyBorder="1"/>
    <xf numFmtId="0" fontId="12" fillId="2" borderId="38" xfId="0" applyFont="1" applyFill="1" applyBorder="1" applyAlignment="1">
      <alignment horizontal="left" vertical="center" wrapText="1"/>
    </xf>
    <xf numFmtId="0" fontId="12" fillId="2" borderId="29" xfId="0" applyFont="1" applyFill="1" applyBorder="1" applyAlignment="1">
      <alignment horizontal="left" vertical="center" wrapText="1"/>
    </xf>
    <xf numFmtId="0" fontId="11" fillId="2" borderId="38" xfId="0" applyFont="1" applyFill="1" applyBorder="1" applyAlignment="1">
      <alignment horizontal="center" vertical="center" wrapText="1"/>
    </xf>
    <xf numFmtId="0" fontId="5" fillId="0" borderId="38" xfId="0" applyFont="1" applyBorder="1" applyAlignment="1">
      <alignment horizontal="left" vertical="center" wrapText="1"/>
    </xf>
    <xf numFmtId="0" fontId="19" fillId="2" borderId="16" xfId="0" applyFont="1" applyFill="1" applyBorder="1" applyAlignment="1">
      <alignment horizontal="center" vertical="center"/>
    </xf>
    <xf numFmtId="0" fontId="10" fillId="0" borderId="43" xfId="0" applyFont="1" applyBorder="1" applyAlignment="1">
      <alignment horizontal="left" vertical="center" wrapText="1"/>
    </xf>
    <xf numFmtId="0" fontId="5" fillId="0" borderId="42" xfId="0" applyFont="1" applyBorder="1"/>
    <xf numFmtId="0" fontId="5" fillId="0" borderId="29" xfId="0" applyFont="1" applyBorder="1" applyAlignment="1">
      <alignment horizontal="left" vertical="center" wrapText="1"/>
    </xf>
    <xf numFmtId="0" fontId="20" fillId="0" borderId="4" xfId="0" applyFont="1" applyBorder="1" applyAlignment="1">
      <alignment horizontal="center" vertical="center" wrapText="1"/>
    </xf>
    <xf numFmtId="0" fontId="9" fillId="0" borderId="0" xfId="0" applyFont="1" applyAlignment="1">
      <alignment horizontal="left" vertical="center" wrapText="1"/>
    </xf>
    <xf numFmtId="0" fontId="22" fillId="0" borderId="0" xfId="0" applyFont="1" applyAlignment="1">
      <alignment horizontal="left" vertical="center" wrapText="1"/>
    </xf>
    <xf numFmtId="0" fontId="10" fillId="0" borderId="40" xfId="0" applyFont="1" applyBorder="1" applyAlignment="1">
      <alignment horizontal="center" vertical="center" wrapText="1"/>
    </xf>
    <xf numFmtId="0" fontId="10" fillId="0" borderId="43" xfId="0" applyFont="1" applyBorder="1" applyAlignment="1">
      <alignment horizontal="center" vertical="center" wrapText="1"/>
    </xf>
    <xf numFmtId="14" fontId="10" fillId="0" borderId="43" xfId="0" applyNumberFormat="1" applyFont="1" applyBorder="1" applyAlignment="1">
      <alignment horizontal="center" vertical="center"/>
    </xf>
    <xf numFmtId="0" fontId="10" fillId="0" borderId="40" xfId="0" applyFont="1" applyBorder="1" applyAlignment="1">
      <alignment horizontal="left" vertical="center" wrapText="1"/>
    </xf>
    <xf numFmtId="0" fontId="12" fillId="2" borderId="33" xfId="0" applyFont="1" applyFill="1" applyBorder="1" applyAlignment="1">
      <alignment horizontal="center" vertical="center" wrapText="1"/>
    </xf>
    <xf numFmtId="0" fontId="21" fillId="0" borderId="0" xfId="0" applyFont="1" applyAlignment="1">
      <alignment horizontal="left" vertical="center"/>
    </xf>
    <xf numFmtId="0" fontId="10" fillId="0" borderId="43" xfId="0" applyFont="1" applyBorder="1" applyAlignment="1">
      <alignment horizontal="center" vertical="center"/>
    </xf>
    <xf numFmtId="0" fontId="14" fillId="2" borderId="16" xfId="0" applyFont="1" applyFill="1" applyBorder="1" applyAlignment="1">
      <alignment vertical="center" wrapText="1"/>
    </xf>
    <xf numFmtId="0" fontId="1" fillId="0" borderId="1" xfId="0" applyFont="1" applyBorder="1" applyAlignment="1">
      <alignment horizontal="center" vertical="center" wrapText="1"/>
    </xf>
    <xf numFmtId="0" fontId="5" fillId="0" borderId="6" xfId="0" applyFont="1" applyBorder="1"/>
    <xf numFmtId="0" fontId="2" fillId="0" borderId="2" xfId="0" applyFont="1" applyBorder="1" applyAlignment="1">
      <alignment horizontal="center" vertical="center"/>
    </xf>
    <xf numFmtId="0" fontId="5" fillId="0" borderId="7" xfId="0" applyFont="1" applyBorder="1"/>
    <xf numFmtId="0" fontId="2" fillId="0" borderId="3" xfId="0" applyFont="1" applyBorder="1" applyAlignment="1">
      <alignment horizontal="left" vertical="center"/>
    </xf>
    <xf numFmtId="0" fontId="5" fillId="0" borderId="8" xfId="0" applyFont="1" applyBorder="1"/>
    <xf numFmtId="0" fontId="16" fillId="0" borderId="4" xfId="0" applyFont="1" applyBorder="1" applyAlignment="1">
      <alignment horizontal="center" vertical="center" wrapText="1"/>
    </xf>
    <xf numFmtId="0" fontId="14" fillId="0" borderId="33" xfId="0" applyFont="1" applyBorder="1" applyAlignment="1">
      <alignment horizontal="left" vertical="center" wrapText="1"/>
    </xf>
    <xf numFmtId="0" fontId="26" fillId="0" borderId="36" xfId="0" applyFont="1" applyBorder="1" applyAlignment="1">
      <alignment horizontal="left" vertical="center" wrapText="1"/>
    </xf>
    <xf numFmtId="0" fontId="26" fillId="0" borderId="75" xfId="0" applyFont="1" applyBorder="1" applyAlignment="1">
      <alignment horizontal="left" vertical="center" wrapText="1"/>
    </xf>
    <xf numFmtId="4" fontId="14" fillId="0" borderId="76" xfId="0" applyNumberFormat="1" applyFont="1" applyBorder="1" applyAlignment="1">
      <alignment horizontal="left" vertical="center" wrapText="1"/>
    </xf>
    <xf numFmtId="4" fontId="14" fillId="0" borderId="36" xfId="0" applyNumberFormat="1" applyFont="1" applyBorder="1" applyAlignment="1">
      <alignment horizontal="left" vertical="center" wrapText="1"/>
    </xf>
    <xf numFmtId="4" fontId="14" fillId="0" borderId="37" xfId="0" applyNumberFormat="1" applyFont="1" applyBorder="1" applyAlignment="1">
      <alignment horizontal="left" vertical="center" wrapText="1"/>
    </xf>
    <xf numFmtId="0" fontId="14" fillId="0" borderId="31" xfId="0" applyFont="1" applyBorder="1" applyAlignment="1">
      <alignment horizontal="left" vertical="center" wrapText="1"/>
    </xf>
    <xf numFmtId="0" fontId="11" fillId="0" borderId="0" xfId="0" applyFont="1" applyAlignment="1">
      <alignment horizontal="center" vertical="center" wrapText="1"/>
    </xf>
    <xf numFmtId="0" fontId="11" fillId="0" borderId="30" xfId="0" applyFont="1" applyBorder="1" applyAlignment="1">
      <alignment horizontal="center" vertical="center"/>
    </xf>
    <xf numFmtId="0" fontId="1" fillId="0" borderId="0" xfId="0" applyFont="1" applyAlignment="1">
      <alignment horizontal="center" vertical="center"/>
    </xf>
    <xf numFmtId="0" fontId="4" fillId="0" borderId="0" xfId="0" applyFont="1" applyAlignment="1">
      <alignment horizontal="center" vertical="center"/>
    </xf>
    <xf numFmtId="0" fontId="7" fillId="2" borderId="12" xfId="0" applyFont="1" applyFill="1" applyBorder="1" applyAlignment="1">
      <alignment horizontal="center" vertical="center" wrapText="1"/>
    </xf>
    <xf numFmtId="0" fontId="5" fillId="0" borderId="13" xfId="0" applyFont="1" applyBorder="1"/>
    <xf numFmtId="0" fontId="5" fillId="0" borderId="14" xfId="0" applyFont="1" applyBorder="1"/>
    <xf numFmtId="0" fontId="8" fillId="0" borderId="16" xfId="0" applyFont="1" applyBorder="1" applyAlignment="1">
      <alignment horizontal="left" vertical="center" wrapText="1"/>
    </xf>
    <xf numFmtId="0" fontId="9" fillId="0" borderId="19" xfId="0" applyFont="1" applyBorder="1" applyAlignment="1">
      <alignment horizontal="left" vertical="center" wrapText="1"/>
    </xf>
    <xf numFmtId="0" fontId="5" fillId="0" borderId="20" xfId="0" applyFont="1" applyBorder="1"/>
    <xf numFmtId="0" fontId="5" fillId="0" borderId="21" xfId="0" applyFont="1" applyBorder="1"/>
    <xf numFmtId="0" fontId="5" fillId="0" borderId="22" xfId="0" applyFont="1" applyBorder="1"/>
    <xf numFmtId="0" fontId="5" fillId="0" borderId="23" xfId="0" applyFont="1" applyBorder="1"/>
    <xf numFmtId="0" fontId="5" fillId="0" borderId="24" xfId="0" applyFont="1" applyBorder="1"/>
    <xf numFmtId="0" fontId="12" fillId="2" borderId="36" xfId="0" applyFont="1" applyFill="1" applyBorder="1" applyAlignment="1">
      <alignment horizontal="left" vertical="center" wrapText="1"/>
    </xf>
    <xf numFmtId="0" fontId="5" fillId="0" borderId="35" xfId="0" applyFont="1" applyBorder="1"/>
    <xf numFmtId="0" fontId="11" fillId="0" borderId="29" xfId="0" applyFont="1" applyBorder="1" applyAlignment="1">
      <alignment horizontal="left" vertical="center"/>
    </xf>
    <xf numFmtId="0" fontId="26" fillId="0" borderId="38" xfId="0" applyFont="1" applyBorder="1" applyAlignment="1">
      <alignment horizontal="left" vertical="center" wrapText="1"/>
    </xf>
    <xf numFmtId="0" fontId="26" fillId="0" borderId="29" xfId="0" applyFont="1" applyBorder="1" applyAlignment="1">
      <alignment horizontal="left" vertical="center" wrapText="1"/>
    </xf>
    <xf numFmtId="0" fontId="14" fillId="0" borderId="77" xfId="0" applyFont="1" applyBorder="1" applyAlignment="1">
      <alignment horizontal="left" vertical="center" wrapText="1"/>
    </xf>
    <xf numFmtId="0" fontId="14" fillId="0" borderId="78" xfId="0" applyFont="1" applyBorder="1" applyAlignment="1">
      <alignment horizontal="left" vertical="center" wrapText="1"/>
    </xf>
    <xf numFmtId="0" fontId="14" fillId="0" borderId="79"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xdr:col>
      <xdr:colOff>200025</xdr:colOff>
      <xdr:row>0</xdr:row>
      <xdr:rowOff>85725</xdr:rowOff>
    </xdr:from>
    <xdr:ext cx="1857375" cy="60007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A1:Z102"/>
  <sheetViews>
    <sheetView showGridLines="0" tabSelected="1" topLeftCell="A77" zoomScale="180" zoomScaleNormal="180" workbookViewId="0">
      <selection activeCell="D90" sqref="D90:H90"/>
    </sheetView>
  </sheetViews>
  <sheetFormatPr baseColWidth="10" defaultColWidth="12.59765625" defaultRowHeight="15" customHeight="1" x14ac:dyDescent="0.2"/>
  <cols>
    <col min="1" max="1" width="7.796875" customWidth="1"/>
    <col min="2" max="2" width="7.19921875" customWidth="1"/>
    <col min="3" max="3" width="8.59765625" customWidth="1"/>
    <col min="4" max="4" width="8.19921875" customWidth="1"/>
    <col min="5" max="5" width="13.796875" customWidth="1"/>
    <col min="6" max="6" width="9.796875" customWidth="1"/>
    <col min="7" max="7" width="6.3984375" customWidth="1"/>
    <col min="8" max="8" width="2.796875" customWidth="1"/>
    <col min="9" max="9" width="2.19921875" customWidth="1"/>
    <col min="10" max="10" width="5.796875" customWidth="1"/>
    <col min="11" max="11" width="13.3984375" customWidth="1"/>
    <col min="12" max="12" width="8.19921875" customWidth="1"/>
    <col min="13" max="13" width="11.3984375" customWidth="1"/>
    <col min="14" max="15" width="11.3984375" hidden="1" customWidth="1"/>
    <col min="16" max="16" width="24.59765625" hidden="1" customWidth="1"/>
    <col min="17" max="17" width="9.3984375" hidden="1" customWidth="1"/>
    <col min="18" max="19" width="11.3984375" hidden="1" customWidth="1"/>
    <col min="20" max="20" width="13.19921875" hidden="1" customWidth="1"/>
    <col min="21" max="23" width="11.3984375" hidden="1" customWidth="1"/>
    <col min="24" max="24" width="18.796875" hidden="1" customWidth="1"/>
    <col min="25" max="25" width="73.3984375" hidden="1" customWidth="1"/>
    <col min="26" max="26" width="11.3984375" hidden="1" customWidth="1"/>
  </cols>
  <sheetData>
    <row r="1" spans="1:26" ht="52.5" customHeight="1" x14ac:dyDescent="0.2">
      <c r="A1" s="158"/>
      <c r="B1" s="101"/>
      <c r="C1" s="101"/>
      <c r="D1" s="101"/>
      <c r="E1" s="101"/>
      <c r="F1" s="101"/>
      <c r="G1" s="101"/>
      <c r="H1" s="101"/>
      <c r="I1" s="101"/>
      <c r="J1" s="101"/>
      <c r="K1" s="101"/>
      <c r="L1" s="101"/>
      <c r="M1" s="2"/>
      <c r="N1" s="2"/>
      <c r="O1" s="142" t="s">
        <v>0</v>
      </c>
      <c r="P1" s="144" t="s">
        <v>1</v>
      </c>
      <c r="Q1" s="146" t="s">
        <v>2</v>
      </c>
      <c r="R1" s="2"/>
      <c r="S1" s="2" t="s">
        <v>2</v>
      </c>
      <c r="T1" s="2" t="s">
        <v>3</v>
      </c>
      <c r="U1" s="2"/>
      <c r="V1" s="2" t="s">
        <v>4</v>
      </c>
      <c r="W1" s="2" t="s">
        <v>5</v>
      </c>
      <c r="X1" s="117" t="s">
        <v>6</v>
      </c>
      <c r="Y1" s="3" t="s">
        <v>7</v>
      </c>
      <c r="Z1" s="2"/>
    </row>
    <row r="2" spans="1:26" ht="13.5" customHeight="1" x14ac:dyDescent="0.2">
      <c r="A2" s="159" t="s">
        <v>8</v>
      </c>
      <c r="B2" s="101"/>
      <c r="C2" s="101"/>
      <c r="D2" s="101"/>
      <c r="E2" s="101"/>
      <c r="F2" s="101"/>
      <c r="G2" s="101"/>
      <c r="H2" s="101"/>
      <c r="I2" s="101"/>
      <c r="J2" s="101"/>
      <c r="K2" s="101"/>
      <c r="L2" s="101"/>
      <c r="M2" s="2"/>
      <c r="N2" s="2"/>
      <c r="O2" s="143"/>
      <c r="P2" s="145"/>
      <c r="Q2" s="147"/>
      <c r="R2" s="2"/>
      <c r="S2" s="4"/>
      <c r="T2" s="2" t="s">
        <v>9</v>
      </c>
      <c r="U2" s="2" t="s">
        <v>10</v>
      </c>
      <c r="V2" s="2" t="s">
        <v>11</v>
      </c>
      <c r="W2" s="2" t="s">
        <v>12</v>
      </c>
      <c r="X2" s="119"/>
      <c r="Y2" s="3" t="s">
        <v>13</v>
      </c>
      <c r="Z2" s="2"/>
    </row>
    <row r="3" spans="1:26" ht="13.5" customHeight="1" x14ac:dyDescent="0.2">
      <c r="A3" s="159" t="s">
        <v>14</v>
      </c>
      <c r="B3" s="101"/>
      <c r="C3" s="101"/>
      <c r="D3" s="101"/>
      <c r="E3" s="101"/>
      <c r="F3" s="101"/>
      <c r="G3" s="101"/>
      <c r="H3" s="101"/>
      <c r="I3" s="101"/>
      <c r="J3" s="101"/>
      <c r="K3" s="101"/>
      <c r="L3" s="101"/>
      <c r="M3" s="2"/>
      <c r="N3" s="2"/>
      <c r="O3" s="5">
        <v>2520</v>
      </c>
      <c r="P3" s="6" t="s">
        <v>15</v>
      </c>
      <c r="Q3" s="7" t="s">
        <v>10</v>
      </c>
      <c r="R3" s="5">
        <v>2520</v>
      </c>
      <c r="S3" s="4" t="s">
        <v>16</v>
      </c>
      <c r="T3" s="2" t="s">
        <v>17</v>
      </c>
      <c r="U3" s="2" t="s">
        <v>10</v>
      </c>
      <c r="V3" s="2" t="s">
        <v>18</v>
      </c>
      <c r="W3" s="2" t="s">
        <v>19</v>
      </c>
      <c r="X3" s="117" t="s">
        <v>20</v>
      </c>
      <c r="Y3" s="3" t="s">
        <v>21</v>
      </c>
      <c r="Z3" s="2"/>
    </row>
    <row r="4" spans="1:26" ht="24" customHeight="1" x14ac:dyDescent="0.2">
      <c r="A4" s="160" t="s">
        <v>22</v>
      </c>
      <c r="B4" s="161"/>
      <c r="C4" s="161"/>
      <c r="D4" s="161"/>
      <c r="E4" s="161"/>
      <c r="F4" s="161"/>
      <c r="G4" s="161"/>
      <c r="H4" s="161"/>
      <c r="I4" s="161"/>
      <c r="J4" s="161"/>
      <c r="K4" s="161"/>
      <c r="L4" s="162"/>
      <c r="M4" s="2"/>
      <c r="N4" s="2"/>
      <c r="O4" s="5">
        <v>2523</v>
      </c>
      <c r="P4" s="8" t="s">
        <v>23</v>
      </c>
      <c r="Q4" s="7" t="s">
        <v>10</v>
      </c>
      <c r="R4" s="5">
        <v>2523</v>
      </c>
      <c r="S4" s="4" t="s">
        <v>24</v>
      </c>
      <c r="T4" s="2" t="s">
        <v>25</v>
      </c>
      <c r="U4" s="2" t="s">
        <v>10</v>
      </c>
      <c r="V4" s="2"/>
      <c r="W4" s="2"/>
      <c r="X4" s="118"/>
      <c r="Y4" s="3" t="s">
        <v>26</v>
      </c>
      <c r="Z4" s="2"/>
    </row>
    <row r="5" spans="1:26" ht="13.5" customHeight="1" x14ac:dyDescent="0.2">
      <c r="A5" s="2"/>
      <c r="B5" s="2"/>
      <c r="C5" s="2"/>
      <c r="D5" s="2"/>
      <c r="E5" s="2"/>
      <c r="F5" s="2"/>
      <c r="G5" s="2"/>
      <c r="H5" s="2"/>
      <c r="I5" s="2"/>
      <c r="J5" s="2"/>
      <c r="K5" s="2"/>
      <c r="L5" s="2"/>
      <c r="M5" s="2"/>
      <c r="N5" s="2"/>
      <c r="O5" s="5">
        <v>2506</v>
      </c>
      <c r="P5" s="8" t="s">
        <v>27</v>
      </c>
      <c r="Q5" s="7" t="s">
        <v>10</v>
      </c>
      <c r="R5" s="5">
        <v>2506</v>
      </c>
      <c r="S5" s="4" t="s">
        <v>28</v>
      </c>
      <c r="T5" s="2" t="s">
        <v>29</v>
      </c>
      <c r="U5" s="2" t="s">
        <v>10</v>
      </c>
      <c r="V5" s="2"/>
      <c r="W5" s="2"/>
      <c r="X5" s="118"/>
      <c r="Y5" s="3" t="s">
        <v>30</v>
      </c>
      <c r="Z5" s="2"/>
    </row>
    <row r="6" spans="1:26" ht="73.5" customHeight="1" x14ac:dyDescent="0.2">
      <c r="A6" s="163" t="s">
        <v>31</v>
      </c>
      <c r="B6" s="96"/>
      <c r="C6" s="96"/>
      <c r="D6" s="96"/>
      <c r="E6" s="96"/>
      <c r="F6" s="96"/>
      <c r="G6" s="96"/>
      <c r="H6" s="96"/>
      <c r="I6" s="96"/>
      <c r="J6" s="96"/>
      <c r="K6" s="96"/>
      <c r="L6" s="97"/>
      <c r="M6" s="2"/>
      <c r="N6" s="2"/>
      <c r="O6" s="5">
        <v>2507</v>
      </c>
      <c r="P6" s="8" t="s">
        <v>32</v>
      </c>
      <c r="Q6" s="7" t="s">
        <v>10</v>
      </c>
      <c r="R6" s="5">
        <v>2507</v>
      </c>
      <c r="S6" s="4" t="s">
        <v>33</v>
      </c>
      <c r="T6" s="2" t="s">
        <v>34</v>
      </c>
      <c r="U6" s="2" t="s">
        <v>10</v>
      </c>
      <c r="V6" s="2"/>
      <c r="W6" s="2"/>
      <c r="X6" s="118"/>
      <c r="Y6" s="3" t="s">
        <v>35</v>
      </c>
      <c r="Z6" s="2"/>
    </row>
    <row r="7" spans="1:26" ht="15" customHeight="1" x14ac:dyDescent="0.2">
      <c r="A7" s="164" t="s">
        <v>36</v>
      </c>
      <c r="B7" s="165"/>
      <c r="C7" s="165"/>
      <c r="D7" s="165"/>
      <c r="E7" s="165"/>
      <c r="F7" s="165"/>
      <c r="G7" s="165"/>
      <c r="H7" s="165"/>
      <c r="I7" s="165"/>
      <c r="J7" s="165"/>
      <c r="K7" s="165"/>
      <c r="L7" s="166"/>
      <c r="M7" s="2"/>
      <c r="N7" s="2"/>
      <c r="O7" s="5"/>
      <c r="P7" s="8"/>
      <c r="Q7" s="7"/>
      <c r="R7" s="5"/>
      <c r="S7" s="4"/>
      <c r="T7" s="2"/>
      <c r="U7" s="2"/>
      <c r="V7" s="2"/>
      <c r="W7" s="2"/>
      <c r="X7" s="118"/>
      <c r="Y7" s="3"/>
      <c r="Z7" s="2"/>
    </row>
    <row r="8" spans="1:26" ht="15" customHeight="1" x14ac:dyDescent="0.2">
      <c r="A8" s="167"/>
      <c r="B8" s="168"/>
      <c r="C8" s="168"/>
      <c r="D8" s="168"/>
      <c r="E8" s="168"/>
      <c r="F8" s="168"/>
      <c r="G8" s="168"/>
      <c r="H8" s="168"/>
      <c r="I8" s="168"/>
      <c r="J8" s="168"/>
      <c r="K8" s="168"/>
      <c r="L8" s="169"/>
      <c r="M8" s="2"/>
      <c r="N8" s="2"/>
      <c r="O8" s="5"/>
      <c r="P8" s="8"/>
      <c r="Q8" s="7"/>
      <c r="R8" s="5"/>
      <c r="S8" s="4"/>
      <c r="T8" s="2"/>
      <c r="U8" s="2"/>
      <c r="V8" s="2"/>
      <c r="W8" s="2"/>
      <c r="X8" s="118"/>
      <c r="Y8" s="3"/>
      <c r="Z8" s="2"/>
    </row>
    <row r="9" spans="1:26" ht="15" customHeight="1" x14ac:dyDescent="0.2">
      <c r="A9" s="9"/>
      <c r="B9" s="9"/>
      <c r="C9" s="9"/>
      <c r="D9" s="9"/>
      <c r="E9" s="9"/>
      <c r="F9" s="9"/>
      <c r="G9" s="9"/>
      <c r="H9" s="9"/>
      <c r="I9" s="9"/>
      <c r="J9" s="9"/>
      <c r="K9" s="9"/>
      <c r="L9" s="9"/>
      <c r="M9" s="2"/>
      <c r="N9" s="2"/>
      <c r="O9" s="5"/>
      <c r="P9" s="8"/>
      <c r="Q9" s="7"/>
      <c r="R9" s="5"/>
      <c r="S9" s="4"/>
      <c r="T9" s="2"/>
      <c r="U9" s="2"/>
      <c r="V9" s="2"/>
      <c r="W9" s="2"/>
      <c r="X9" s="118"/>
      <c r="Y9" s="3"/>
      <c r="Z9" s="2"/>
    </row>
    <row r="10" spans="1:26" ht="12.75" customHeight="1" x14ac:dyDescent="0.2">
      <c r="A10" s="10"/>
      <c r="B10" s="10"/>
      <c r="C10" s="10"/>
      <c r="D10" s="10"/>
      <c r="E10" s="10"/>
      <c r="F10" s="10"/>
      <c r="G10" s="10"/>
      <c r="H10" s="10"/>
      <c r="I10" s="11"/>
      <c r="J10" s="12" t="s">
        <v>37</v>
      </c>
      <c r="K10" s="12" t="s">
        <v>38</v>
      </c>
      <c r="L10" s="12" t="s">
        <v>39</v>
      </c>
      <c r="M10" s="2"/>
      <c r="N10" s="2"/>
      <c r="O10" s="5">
        <v>2513</v>
      </c>
      <c r="P10" s="8" t="s">
        <v>40</v>
      </c>
      <c r="Q10" s="7" t="s">
        <v>10</v>
      </c>
      <c r="R10" s="5">
        <v>2513</v>
      </c>
      <c r="S10" s="4" t="s">
        <v>41</v>
      </c>
      <c r="T10" s="2" t="s">
        <v>42</v>
      </c>
      <c r="U10" s="2" t="s">
        <v>10</v>
      </c>
      <c r="V10" s="2"/>
      <c r="W10" s="2"/>
      <c r="X10" s="118"/>
      <c r="Y10" s="3" t="s">
        <v>43</v>
      </c>
      <c r="Z10" s="2"/>
    </row>
    <row r="11" spans="1:26" ht="14.25" customHeight="1" x14ac:dyDescent="0.2">
      <c r="A11" s="10"/>
      <c r="B11" s="10"/>
      <c r="C11" s="10"/>
      <c r="D11" s="10"/>
      <c r="E11" s="156" t="s">
        <v>44</v>
      </c>
      <c r="F11" s="101"/>
      <c r="G11" s="101"/>
      <c r="H11" s="101"/>
      <c r="I11" s="103"/>
      <c r="J11" s="14">
        <v>24</v>
      </c>
      <c r="K11" s="14">
        <v>9</v>
      </c>
      <c r="L11" s="14">
        <v>2026</v>
      </c>
      <c r="M11" s="2"/>
      <c r="N11" s="2"/>
      <c r="O11" s="5">
        <v>2538</v>
      </c>
      <c r="P11" s="8" t="s">
        <v>45</v>
      </c>
      <c r="Q11" s="7" t="s">
        <v>10</v>
      </c>
      <c r="R11" s="5">
        <v>2538</v>
      </c>
      <c r="S11" s="4" t="s">
        <v>46</v>
      </c>
      <c r="T11" s="2" t="s">
        <v>47</v>
      </c>
      <c r="U11" s="2" t="s">
        <v>10</v>
      </c>
      <c r="V11" s="2"/>
      <c r="W11" s="2"/>
      <c r="X11" s="118"/>
      <c r="Y11" s="3" t="s">
        <v>48</v>
      </c>
      <c r="Z11" s="2"/>
    </row>
    <row r="12" spans="1:26" ht="14.25" customHeight="1" x14ac:dyDescent="0.2">
      <c r="A12" s="10"/>
      <c r="B12" s="10"/>
      <c r="C12" s="10"/>
      <c r="D12" s="10"/>
      <c r="E12" s="13"/>
      <c r="F12" s="13"/>
      <c r="G12" s="13"/>
      <c r="H12" s="13"/>
      <c r="I12" s="13"/>
      <c r="J12" s="15"/>
      <c r="K12" s="15"/>
      <c r="L12" s="15"/>
      <c r="M12" s="2"/>
      <c r="N12" s="2"/>
      <c r="O12" s="5"/>
      <c r="P12" s="8"/>
      <c r="Q12" s="7"/>
      <c r="R12" s="5"/>
      <c r="S12" s="4"/>
      <c r="T12" s="2"/>
      <c r="U12" s="2"/>
      <c r="V12" s="2"/>
      <c r="W12" s="2"/>
      <c r="X12" s="118"/>
      <c r="Y12" s="3"/>
      <c r="Z12" s="2"/>
    </row>
    <row r="13" spans="1:26" ht="17.25" customHeight="1" x14ac:dyDescent="0.2">
      <c r="A13" s="172" t="s">
        <v>49</v>
      </c>
      <c r="B13" s="87"/>
      <c r="C13" s="87"/>
      <c r="D13" s="87"/>
      <c r="E13" s="157"/>
      <c r="F13" s="87"/>
      <c r="G13" s="87"/>
      <c r="H13" s="87"/>
      <c r="I13" s="87"/>
      <c r="J13" s="87"/>
      <c r="K13" s="87"/>
      <c r="L13" s="88"/>
      <c r="M13" s="2"/>
      <c r="N13" s="2"/>
      <c r="O13" s="5">
        <v>2521</v>
      </c>
      <c r="P13" s="8" t="s">
        <v>50</v>
      </c>
      <c r="Q13" s="7" t="s">
        <v>10</v>
      </c>
      <c r="R13" s="5">
        <v>2521</v>
      </c>
      <c r="S13" s="4"/>
      <c r="T13" s="2" t="s">
        <v>51</v>
      </c>
      <c r="U13" s="2" t="s">
        <v>10</v>
      </c>
      <c r="V13" s="2"/>
      <c r="W13" s="2"/>
      <c r="X13" s="119"/>
      <c r="Y13" s="3" t="s">
        <v>52</v>
      </c>
      <c r="Z13" s="2"/>
    </row>
    <row r="14" spans="1:26" ht="17.25" customHeight="1" x14ac:dyDescent="0.2">
      <c r="A14" s="16"/>
      <c r="B14" s="16"/>
      <c r="C14" s="16"/>
      <c r="D14" s="16"/>
      <c r="E14" s="17"/>
      <c r="F14" s="17"/>
      <c r="G14" s="17"/>
      <c r="H14" s="17"/>
      <c r="I14" s="17"/>
      <c r="J14" s="17"/>
      <c r="K14" s="17"/>
      <c r="L14" s="17"/>
      <c r="M14" s="2"/>
      <c r="N14" s="2"/>
      <c r="O14" s="5"/>
      <c r="P14" s="8"/>
      <c r="Q14" s="7"/>
      <c r="R14" s="5"/>
      <c r="S14" s="4"/>
      <c r="T14" s="2"/>
      <c r="U14" s="2"/>
      <c r="V14" s="2"/>
      <c r="W14" s="2"/>
      <c r="X14" s="18"/>
      <c r="Y14" s="3"/>
      <c r="Z14" s="2"/>
    </row>
    <row r="15" spans="1:26" ht="15" customHeight="1" x14ac:dyDescent="0.2">
      <c r="A15" s="81" t="s">
        <v>53</v>
      </c>
      <c r="B15" s="82"/>
      <c r="C15" s="82"/>
      <c r="D15" s="82"/>
      <c r="E15" s="171"/>
      <c r="F15" s="170"/>
      <c r="G15" s="82"/>
      <c r="H15" s="82"/>
      <c r="I15" s="171"/>
      <c r="J15" s="170"/>
      <c r="K15" s="82"/>
      <c r="L15" s="83"/>
      <c r="M15" s="2"/>
      <c r="N15" s="2"/>
      <c r="O15" s="5">
        <v>2509</v>
      </c>
      <c r="P15" s="8" t="s">
        <v>54</v>
      </c>
      <c r="Q15" s="7" t="s">
        <v>10</v>
      </c>
      <c r="R15" s="5">
        <v>2509</v>
      </c>
      <c r="S15" s="2"/>
      <c r="T15" s="2" t="s">
        <v>55</v>
      </c>
      <c r="U15" s="2" t="s">
        <v>10</v>
      </c>
      <c r="V15" s="2"/>
      <c r="W15" s="2"/>
      <c r="X15" s="117" t="s">
        <v>56</v>
      </c>
      <c r="Y15" s="3" t="s">
        <v>57</v>
      </c>
      <c r="Z15" s="2"/>
    </row>
    <row r="16" spans="1:26" ht="15" customHeight="1" x14ac:dyDescent="0.2">
      <c r="A16" s="93" t="s">
        <v>58</v>
      </c>
      <c r="B16" s="87"/>
      <c r="C16" s="87"/>
      <c r="D16" s="87"/>
      <c r="E16" s="88"/>
      <c r="F16" s="94"/>
      <c r="G16" s="87"/>
      <c r="H16" s="87"/>
      <c r="I16" s="87"/>
      <c r="J16" s="87"/>
      <c r="K16" s="87"/>
      <c r="L16" s="89"/>
      <c r="M16" s="2"/>
      <c r="N16" s="2"/>
      <c r="O16" s="5">
        <v>2510</v>
      </c>
      <c r="P16" s="8" t="s">
        <v>59</v>
      </c>
      <c r="Q16" s="7" t="s">
        <v>10</v>
      </c>
      <c r="R16" s="5">
        <v>2510</v>
      </c>
      <c r="S16" s="2"/>
      <c r="T16" s="2" t="s">
        <v>60</v>
      </c>
      <c r="U16" s="2" t="s">
        <v>61</v>
      </c>
      <c r="V16" s="2"/>
      <c r="W16" s="2"/>
      <c r="X16" s="118"/>
      <c r="Y16" s="3" t="s">
        <v>62</v>
      </c>
      <c r="Z16" s="2"/>
    </row>
    <row r="17" spans="1:26" ht="15" customHeight="1" x14ac:dyDescent="0.2">
      <c r="A17" s="93" t="s">
        <v>63</v>
      </c>
      <c r="B17" s="87"/>
      <c r="C17" s="87"/>
      <c r="D17" s="87"/>
      <c r="E17" s="88"/>
      <c r="F17" s="94" t="s">
        <v>237</v>
      </c>
      <c r="G17" s="87"/>
      <c r="H17" s="87"/>
      <c r="I17" s="87"/>
      <c r="J17" s="87"/>
      <c r="K17" s="87"/>
      <c r="L17" s="89"/>
      <c r="M17" s="2"/>
      <c r="N17" s="2"/>
      <c r="O17" s="5">
        <v>2522</v>
      </c>
      <c r="P17" s="8" t="s">
        <v>64</v>
      </c>
      <c r="Q17" s="7" t="s">
        <v>10</v>
      </c>
      <c r="R17" s="5">
        <v>2522</v>
      </c>
      <c r="S17" s="2"/>
      <c r="T17" s="2" t="s">
        <v>65</v>
      </c>
      <c r="U17" s="2" t="s">
        <v>61</v>
      </c>
      <c r="V17" s="2"/>
      <c r="W17" s="2"/>
      <c r="X17" s="118"/>
      <c r="Y17" s="3" t="s">
        <v>66</v>
      </c>
      <c r="Z17" s="2"/>
    </row>
    <row r="18" spans="1:26" ht="15" customHeight="1" x14ac:dyDescent="0.2">
      <c r="A18" s="93" t="s">
        <v>67</v>
      </c>
      <c r="B18" s="87"/>
      <c r="C18" s="87"/>
      <c r="D18" s="87"/>
      <c r="E18" s="88"/>
      <c r="F18" s="94" t="s">
        <v>68</v>
      </c>
      <c r="G18" s="87"/>
      <c r="H18" s="87"/>
      <c r="I18" s="87"/>
      <c r="J18" s="87"/>
      <c r="K18" s="87"/>
      <c r="L18" s="89"/>
      <c r="M18" s="2"/>
      <c r="N18" s="2"/>
      <c r="O18" s="5">
        <v>2540</v>
      </c>
      <c r="P18" s="8" t="s">
        <v>69</v>
      </c>
      <c r="Q18" s="7" t="s">
        <v>10</v>
      </c>
      <c r="R18" s="5">
        <v>2540</v>
      </c>
      <c r="S18" s="2"/>
      <c r="T18" s="2" t="s">
        <v>70</v>
      </c>
      <c r="U18" s="2" t="s">
        <v>61</v>
      </c>
      <c r="V18" s="2"/>
      <c r="W18" s="2"/>
      <c r="X18" s="118"/>
      <c r="Y18" s="3" t="s">
        <v>71</v>
      </c>
      <c r="Z18" s="2"/>
    </row>
    <row r="19" spans="1:26" ht="15" customHeight="1" x14ac:dyDescent="0.2">
      <c r="A19" s="93" t="s">
        <v>72</v>
      </c>
      <c r="B19" s="87"/>
      <c r="C19" s="87"/>
      <c r="D19" s="87"/>
      <c r="E19" s="88"/>
      <c r="F19" s="94" t="s">
        <v>73</v>
      </c>
      <c r="G19" s="87"/>
      <c r="H19" s="87"/>
      <c r="I19" s="87"/>
      <c r="J19" s="87"/>
      <c r="K19" s="87"/>
      <c r="L19" s="89"/>
      <c r="M19" s="2"/>
      <c r="N19" s="2"/>
      <c r="O19" s="5">
        <v>2526</v>
      </c>
      <c r="P19" s="8" t="s">
        <v>74</v>
      </c>
      <c r="Q19" s="7" t="s">
        <v>10</v>
      </c>
      <c r="R19" s="5">
        <v>2526</v>
      </c>
      <c r="S19" s="2"/>
      <c r="T19" s="2" t="s">
        <v>75</v>
      </c>
      <c r="U19" s="2" t="s">
        <v>68</v>
      </c>
      <c r="V19" s="2"/>
      <c r="W19" s="2"/>
      <c r="X19" s="118"/>
      <c r="Y19" s="3" t="s">
        <v>76</v>
      </c>
      <c r="Z19" s="2"/>
    </row>
    <row r="20" spans="1:26" ht="15" customHeight="1" x14ac:dyDescent="0.2">
      <c r="A20" s="137" t="s">
        <v>77</v>
      </c>
      <c r="B20" s="105"/>
      <c r="C20" s="105"/>
      <c r="D20" s="105"/>
      <c r="E20" s="129"/>
      <c r="F20" s="104" t="s">
        <v>78</v>
      </c>
      <c r="G20" s="105"/>
      <c r="H20" s="105"/>
      <c r="I20" s="105"/>
      <c r="J20" s="105"/>
      <c r="K20" s="105"/>
      <c r="L20" s="106"/>
      <c r="M20" s="2"/>
      <c r="N20" s="2"/>
      <c r="O20" s="5">
        <v>2514</v>
      </c>
      <c r="P20" s="8" t="s">
        <v>79</v>
      </c>
      <c r="Q20" s="7" t="s">
        <v>10</v>
      </c>
      <c r="R20" s="5">
        <v>2514</v>
      </c>
      <c r="S20" s="2"/>
      <c r="T20" s="2" t="s">
        <v>80</v>
      </c>
      <c r="U20" s="2" t="s">
        <v>68</v>
      </c>
      <c r="V20" s="2"/>
      <c r="W20" s="2"/>
      <c r="X20" s="118"/>
      <c r="Y20" s="3" t="s">
        <v>81</v>
      </c>
      <c r="Z20" s="2"/>
    </row>
    <row r="21" spans="1:26" ht="15" customHeight="1" x14ac:dyDescent="0.2">
      <c r="A21" s="19"/>
      <c r="B21" s="19"/>
      <c r="C21" s="19"/>
      <c r="D21" s="19"/>
      <c r="E21" s="19"/>
      <c r="F21" s="19"/>
      <c r="G21" s="19"/>
      <c r="H21" s="19"/>
      <c r="I21" s="19"/>
      <c r="J21" s="19"/>
      <c r="K21" s="19"/>
      <c r="L21" s="19"/>
      <c r="M21" s="2"/>
      <c r="N21" s="2"/>
      <c r="O21" s="5">
        <v>2534</v>
      </c>
      <c r="P21" s="8" t="s">
        <v>82</v>
      </c>
      <c r="Q21" s="7" t="s">
        <v>10</v>
      </c>
      <c r="R21" s="5">
        <v>2534</v>
      </c>
      <c r="S21" s="2"/>
      <c r="T21" s="2" t="s">
        <v>83</v>
      </c>
      <c r="U21" s="2" t="s">
        <v>68</v>
      </c>
      <c r="V21" s="2"/>
      <c r="W21" s="2"/>
      <c r="X21" s="118"/>
      <c r="Y21" s="3" t="s">
        <v>84</v>
      </c>
      <c r="Z21" s="2"/>
    </row>
    <row r="22" spans="1:26" ht="15" customHeight="1" x14ac:dyDescent="0.2">
      <c r="A22" s="141" t="s">
        <v>85</v>
      </c>
      <c r="B22" s="96"/>
      <c r="C22" s="96"/>
      <c r="D22" s="96"/>
      <c r="E22" s="96"/>
      <c r="F22" s="97"/>
      <c r="G22" s="10"/>
      <c r="H22" s="81" t="s">
        <v>86</v>
      </c>
      <c r="I22" s="82"/>
      <c r="J22" s="82"/>
      <c r="K22" s="82"/>
      <c r="L22" s="83"/>
      <c r="M22" s="2"/>
      <c r="N22" s="2"/>
      <c r="O22" s="5">
        <v>2515</v>
      </c>
      <c r="P22" s="8" t="s">
        <v>87</v>
      </c>
      <c r="Q22" s="7" t="s">
        <v>10</v>
      </c>
      <c r="R22" s="5">
        <v>2515</v>
      </c>
      <c r="S22" s="2"/>
      <c r="T22" s="2" t="s">
        <v>88</v>
      </c>
      <c r="U22" s="2" t="s">
        <v>68</v>
      </c>
      <c r="V22" s="2"/>
      <c r="W22" s="2"/>
      <c r="X22" s="118"/>
      <c r="Y22" s="3" t="s">
        <v>89</v>
      </c>
      <c r="Z22" s="2"/>
    </row>
    <row r="23" spans="1:26" ht="15" customHeight="1" x14ac:dyDescent="0.2">
      <c r="A23" s="95" t="s">
        <v>90</v>
      </c>
      <c r="B23" s="96"/>
      <c r="C23" s="97"/>
      <c r="D23" s="95" t="s">
        <v>91</v>
      </c>
      <c r="E23" s="97"/>
      <c r="F23" s="20" t="s">
        <v>92</v>
      </c>
      <c r="G23" s="10"/>
      <c r="H23" s="98" t="s">
        <v>93</v>
      </c>
      <c r="I23" s="99"/>
      <c r="J23" s="99"/>
      <c r="K23" s="99"/>
      <c r="L23" s="102" t="s">
        <v>235</v>
      </c>
      <c r="M23" s="2"/>
      <c r="N23" s="2"/>
      <c r="O23" s="5">
        <v>2524</v>
      </c>
      <c r="P23" s="8" t="s">
        <v>94</v>
      </c>
      <c r="Q23" s="7" t="s">
        <v>10</v>
      </c>
      <c r="R23" s="5">
        <v>2524</v>
      </c>
      <c r="S23" s="2"/>
      <c r="T23" s="2" t="s">
        <v>95</v>
      </c>
      <c r="U23" s="2" t="s">
        <v>68</v>
      </c>
      <c r="V23" s="2"/>
      <c r="W23" s="2"/>
      <c r="X23" s="118"/>
      <c r="Y23" s="3" t="s">
        <v>96</v>
      </c>
      <c r="Z23" s="2"/>
    </row>
    <row r="24" spans="1:26" ht="28.5" customHeight="1" x14ac:dyDescent="0.2">
      <c r="A24" s="21" t="s">
        <v>97</v>
      </c>
      <c r="B24" s="21" t="s">
        <v>98</v>
      </c>
      <c r="C24" s="21" t="s">
        <v>99</v>
      </c>
      <c r="D24" s="21" t="s">
        <v>100</v>
      </c>
      <c r="E24" s="21" t="s">
        <v>101</v>
      </c>
      <c r="F24" s="21" t="s">
        <v>102</v>
      </c>
      <c r="G24" s="22"/>
      <c r="H24" s="100"/>
      <c r="I24" s="101"/>
      <c r="J24" s="101"/>
      <c r="K24" s="101"/>
      <c r="L24" s="103"/>
      <c r="M24" s="1"/>
      <c r="N24" s="1"/>
      <c r="O24" s="5">
        <v>2525</v>
      </c>
      <c r="P24" s="23" t="s">
        <v>103</v>
      </c>
      <c r="Q24" s="24" t="s">
        <v>10</v>
      </c>
      <c r="R24" s="5">
        <v>2525</v>
      </c>
      <c r="S24" s="1"/>
      <c r="T24" s="1" t="s">
        <v>104</v>
      </c>
      <c r="U24" s="1" t="s">
        <v>105</v>
      </c>
      <c r="V24" s="1"/>
      <c r="W24" s="1"/>
      <c r="X24" s="118"/>
      <c r="Y24" s="23" t="s">
        <v>106</v>
      </c>
      <c r="Z24" s="1"/>
    </row>
    <row r="25" spans="1:26" ht="21" customHeight="1" x14ac:dyDescent="0.2">
      <c r="A25" s="25">
        <v>4</v>
      </c>
      <c r="B25" s="26">
        <v>6</v>
      </c>
      <c r="C25" s="27">
        <f>+A25+B25</f>
        <v>10</v>
      </c>
      <c r="D25" s="26">
        <v>16</v>
      </c>
      <c r="E25" s="27">
        <f>+C25*D25</f>
        <v>160</v>
      </c>
      <c r="F25" s="28">
        <f>+E25/48</f>
        <v>3.3333333333333335</v>
      </c>
      <c r="G25" s="10"/>
      <c r="H25" s="79" t="s">
        <v>107</v>
      </c>
      <c r="I25" s="80"/>
      <c r="J25" s="80"/>
      <c r="K25" s="80"/>
      <c r="L25" s="29"/>
      <c r="M25" s="2"/>
      <c r="N25" s="2"/>
      <c r="O25" s="5">
        <v>2527</v>
      </c>
      <c r="P25" s="8" t="s">
        <v>108</v>
      </c>
      <c r="Q25" s="7" t="s">
        <v>10</v>
      </c>
      <c r="R25" s="5">
        <v>2527</v>
      </c>
      <c r="S25" s="2"/>
      <c r="T25" s="2" t="s">
        <v>109</v>
      </c>
      <c r="U25" s="2" t="s">
        <v>105</v>
      </c>
      <c r="V25" s="2"/>
      <c r="W25" s="2"/>
      <c r="X25" s="119"/>
      <c r="Y25" s="3" t="s">
        <v>110</v>
      </c>
      <c r="Z25" s="2"/>
    </row>
    <row r="26" spans="1:26" ht="15" customHeight="1" x14ac:dyDescent="0.2">
      <c r="A26" s="10"/>
      <c r="B26" s="10"/>
      <c r="C26" s="10"/>
      <c r="D26" s="10"/>
      <c r="E26" s="10"/>
      <c r="F26" s="10"/>
      <c r="G26" s="10"/>
      <c r="H26" s="10"/>
      <c r="I26" s="10"/>
      <c r="J26" s="10"/>
      <c r="K26" s="10"/>
      <c r="L26" s="30"/>
      <c r="M26" s="2"/>
      <c r="N26" s="2"/>
      <c r="O26" s="5">
        <v>2528</v>
      </c>
      <c r="P26" s="8" t="s">
        <v>111</v>
      </c>
      <c r="Q26" s="7" t="s">
        <v>10</v>
      </c>
      <c r="R26" s="5">
        <v>2528</v>
      </c>
      <c r="S26" s="2"/>
      <c r="T26" s="2"/>
      <c r="U26" s="2"/>
      <c r="V26" s="2"/>
      <c r="W26" s="2"/>
      <c r="X26" s="148" t="s">
        <v>112</v>
      </c>
      <c r="Y26" s="3" t="s">
        <v>113</v>
      </c>
      <c r="Z26" s="2"/>
    </row>
    <row r="27" spans="1:26" ht="15" customHeight="1" x14ac:dyDescent="0.2">
      <c r="A27" s="81" t="s">
        <v>114</v>
      </c>
      <c r="B27" s="82"/>
      <c r="C27" s="82"/>
      <c r="D27" s="82"/>
      <c r="E27" s="82"/>
      <c r="F27" s="82"/>
      <c r="G27" s="82"/>
      <c r="H27" s="82"/>
      <c r="I27" s="82"/>
      <c r="J27" s="82"/>
      <c r="K27" s="82"/>
      <c r="L27" s="83"/>
      <c r="M27" s="2"/>
      <c r="N27" s="2"/>
      <c r="O27" s="5">
        <v>2530</v>
      </c>
      <c r="P27" s="8" t="s">
        <v>115</v>
      </c>
      <c r="Q27" s="7" t="s">
        <v>10</v>
      </c>
      <c r="R27" s="5">
        <v>2530</v>
      </c>
      <c r="S27" s="2"/>
      <c r="T27" s="2"/>
      <c r="U27" s="2"/>
      <c r="V27" s="2"/>
      <c r="W27" s="2"/>
      <c r="X27" s="118"/>
      <c r="Y27" s="3" t="s">
        <v>116</v>
      </c>
      <c r="Z27" s="2"/>
    </row>
    <row r="28" spans="1:26" ht="30" customHeight="1" x14ac:dyDescent="0.2">
      <c r="A28" s="31">
        <v>80</v>
      </c>
      <c r="B28" s="32" t="s">
        <v>117</v>
      </c>
      <c r="C28" s="84" t="s">
        <v>118</v>
      </c>
      <c r="D28" s="80"/>
      <c r="E28" s="80"/>
      <c r="F28" s="85"/>
      <c r="G28" s="33">
        <f>+A25*D25</f>
        <v>64</v>
      </c>
      <c r="H28" s="84" t="s">
        <v>119</v>
      </c>
      <c r="I28" s="80"/>
      <c r="J28" s="80"/>
      <c r="K28" s="85"/>
      <c r="L28" s="34">
        <f>+A28*G28/100</f>
        <v>51.2</v>
      </c>
      <c r="M28" s="35"/>
      <c r="N28" s="35"/>
      <c r="O28" s="36">
        <v>2516</v>
      </c>
      <c r="P28" s="37" t="s">
        <v>120</v>
      </c>
      <c r="Q28" s="38" t="s">
        <v>10</v>
      </c>
      <c r="R28" s="36">
        <v>2516</v>
      </c>
      <c r="S28" s="35"/>
      <c r="T28" s="35"/>
      <c r="U28" s="35"/>
      <c r="V28" s="35"/>
      <c r="W28" s="35"/>
      <c r="X28" s="119"/>
      <c r="Y28" s="37" t="s">
        <v>121</v>
      </c>
      <c r="Z28" s="35"/>
    </row>
    <row r="29" spans="1:26" ht="15" customHeight="1" x14ac:dyDescent="0.2">
      <c r="A29" s="10"/>
      <c r="B29" s="10"/>
      <c r="C29" s="10"/>
      <c r="D29" s="10"/>
      <c r="E29" s="10"/>
      <c r="F29" s="10"/>
      <c r="G29" s="10"/>
      <c r="H29" s="10"/>
      <c r="I29" s="10"/>
      <c r="J29" s="10"/>
      <c r="K29" s="10"/>
      <c r="L29" s="10"/>
      <c r="M29" s="2"/>
      <c r="N29" s="2"/>
      <c r="O29" s="5">
        <v>2550</v>
      </c>
      <c r="P29" s="8" t="s">
        <v>122</v>
      </c>
      <c r="Q29" s="7" t="s">
        <v>10</v>
      </c>
      <c r="R29" s="5">
        <v>2550</v>
      </c>
      <c r="S29" s="2"/>
      <c r="T29" s="2"/>
      <c r="U29" s="2"/>
      <c r="V29" s="2"/>
      <c r="W29" s="2"/>
      <c r="X29" s="117" t="s">
        <v>123</v>
      </c>
      <c r="Y29" s="3" t="s">
        <v>124</v>
      </c>
      <c r="Z29" s="2"/>
    </row>
    <row r="30" spans="1:26" ht="15" customHeight="1" x14ac:dyDescent="0.2">
      <c r="A30" s="81" t="s">
        <v>125</v>
      </c>
      <c r="B30" s="82"/>
      <c r="C30" s="82"/>
      <c r="D30" s="82"/>
      <c r="E30" s="82"/>
      <c r="F30" s="82"/>
      <c r="G30" s="82"/>
      <c r="H30" s="82"/>
      <c r="I30" s="82"/>
      <c r="J30" s="82"/>
      <c r="K30" s="82"/>
      <c r="L30" s="83"/>
      <c r="M30" s="2"/>
      <c r="N30" s="2"/>
      <c r="O30" s="5">
        <v>2551</v>
      </c>
      <c r="P30" s="8" t="s">
        <v>126</v>
      </c>
      <c r="Q30" s="7" t="s">
        <v>10</v>
      </c>
      <c r="R30" s="5">
        <v>2551</v>
      </c>
      <c r="S30" s="2"/>
      <c r="T30" s="2"/>
      <c r="U30" s="2"/>
      <c r="V30" s="2"/>
      <c r="W30" s="2"/>
      <c r="X30" s="118"/>
      <c r="Y30" s="3" t="s">
        <v>127</v>
      </c>
      <c r="Z30" s="2"/>
    </row>
    <row r="31" spans="1:26" ht="15" customHeight="1" x14ac:dyDescent="0.2">
      <c r="A31" s="39" t="s">
        <v>128</v>
      </c>
      <c r="B31" s="86" t="s">
        <v>129</v>
      </c>
      <c r="C31" s="87"/>
      <c r="D31" s="87"/>
      <c r="E31" s="87"/>
      <c r="F31" s="87"/>
      <c r="G31" s="87"/>
      <c r="H31" s="87"/>
      <c r="I31" s="87"/>
      <c r="J31" s="88"/>
      <c r="K31" s="86" t="s">
        <v>130</v>
      </c>
      <c r="L31" s="89"/>
      <c r="M31" s="2"/>
      <c r="N31" s="2"/>
      <c r="O31" s="5">
        <v>2531</v>
      </c>
      <c r="P31" s="8" t="s">
        <v>131</v>
      </c>
      <c r="Q31" s="7" t="s">
        <v>10</v>
      </c>
      <c r="R31" s="5">
        <v>2531</v>
      </c>
      <c r="S31" s="2"/>
      <c r="T31" s="2" t="s">
        <v>132</v>
      </c>
      <c r="U31" s="2" t="s">
        <v>133</v>
      </c>
      <c r="V31" s="2" t="s">
        <v>134</v>
      </c>
      <c r="W31" s="2"/>
      <c r="X31" s="118"/>
      <c r="Y31" s="3" t="s">
        <v>135</v>
      </c>
      <c r="Z31" s="2"/>
    </row>
    <row r="32" spans="1:26" ht="15" customHeight="1" x14ac:dyDescent="0.2">
      <c r="A32" s="40"/>
      <c r="B32" s="110"/>
      <c r="C32" s="87"/>
      <c r="D32" s="87"/>
      <c r="E32" s="87"/>
      <c r="F32" s="87"/>
      <c r="G32" s="87"/>
      <c r="H32" s="87"/>
      <c r="I32" s="87"/>
      <c r="J32" s="88"/>
      <c r="K32" s="111"/>
      <c r="L32" s="112"/>
      <c r="M32" s="2"/>
      <c r="N32" s="2"/>
      <c r="O32" s="5">
        <v>2517</v>
      </c>
      <c r="P32" s="8" t="s">
        <v>136</v>
      </c>
      <c r="Q32" s="7" t="s">
        <v>10</v>
      </c>
      <c r="R32" s="5">
        <v>2517</v>
      </c>
      <c r="S32" s="2"/>
      <c r="T32" s="2">
        <v>1</v>
      </c>
      <c r="U32" s="2" t="s">
        <v>137</v>
      </c>
      <c r="V32" s="2">
        <v>2011</v>
      </c>
      <c r="W32" s="2"/>
      <c r="X32" s="118"/>
      <c r="Y32" s="3" t="s">
        <v>138</v>
      </c>
      <c r="Z32" s="2"/>
    </row>
    <row r="33" spans="1:26" ht="15" customHeight="1" x14ac:dyDescent="0.2">
      <c r="A33" s="41"/>
      <c r="B33" s="128"/>
      <c r="C33" s="105"/>
      <c r="D33" s="105"/>
      <c r="E33" s="105"/>
      <c r="F33" s="105"/>
      <c r="G33" s="105"/>
      <c r="H33" s="105"/>
      <c r="I33" s="105"/>
      <c r="J33" s="129"/>
      <c r="K33" s="140"/>
      <c r="L33" s="106"/>
      <c r="M33" s="2"/>
      <c r="N33" s="2"/>
      <c r="O33" s="5">
        <v>2543</v>
      </c>
      <c r="P33" s="8" t="s">
        <v>139</v>
      </c>
      <c r="Q33" s="7" t="s">
        <v>10</v>
      </c>
      <c r="R33" s="5">
        <v>2543</v>
      </c>
      <c r="S33" s="2"/>
      <c r="T33" s="2">
        <v>6</v>
      </c>
      <c r="U33" s="2" t="s">
        <v>140</v>
      </c>
      <c r="V33" s="2"/>
      <c r="W33" s="2"/>
      <c r="X33" s="118"/>
      <c r="Y33" s="3" t="s">
        <v>141</v>
      </c>
      <c r="Z33" s="2"/>
    </row>
    <row r="34" spans="1:26" ht="15" customHeight="1" x14ac:dyDescent="0.2">
      <c r="A34" s="42"/>
      <c r="B34" s="42"/>
      <c r="C34" s="42"/>
      <c r="D34" s="42"/>
      <c r="E34" s="42"/>
      <c r="F34" s="42"/>
      <c r="G34" s="42"/>
      <c r="H34" s="42"/>
      <c r="I34" s="42"/>
      <c r="J34" s="42"/>
      <c r="K34" s="42"/>
      <c r="L34" s="42"/>
      <c r="M34" s="2"/>
      <c r="N34" s="2"/>
      <c r="O34" s="5">
        <v>2544</v>
      </c>
      <c r="P34" s="8" t="s">
        <v>142</v>
      </c>
      <c r="Q34" s="7" t="s">
        <v>10</v>
      </c>
      <c r="R34" s="5">
        <v>2544</v>
      </c>
      <c r="S34" s="2"/>
      <c r="T34" s="2">
        <v>7</v>
      </c>
      <c r="U34" s="2" t="s">
        <v>143</v>
      </c>
      <c r="V34" s="2"/>
      <c r="W34" s="2"/>
      <c r="X34" s="118"/>
      <c r="Y34" s="3" t="s">
        <v>144</v>
      </c>
      <c r="Z34" s="2"/>
    </row>
    <row r="35" spans="1:26" ht="15" customHeight="1" x14ac:dyDescent="0.2">
      <c r="A35" s="81" t="s">
        <v>145</v>
      </c>
      <c r="B35" s="82"/>
      <c r="C35" s="82"/>
      <c r="D35" s="82"/>
      <c r="E35" s="82"/>
      <c r="F35" s="82"/>
      <c r="G35" s="82"/>
      <c r="H35" s="82"/>
      <c r="I35" s="82"/>
      <c r="J35" s="82"/>
      <c r="K35" s="82"/>
      <c r="L35" s="83"/>
      <c r="M35" s="2"/>
      <c r="N35" s="2"/>
      <c r="O35" s="5">
        <v>2545</v>
      </c>
      <c r="P35" s="8" t="s">
        <v>146</v>
      </c>
      <c r="Q35" s="7" t="s">
        <v>10</v>
      </c>
      <c r="R35" s="5">
        <v>2545</v>
      </c>
      <c r="S35" s="2"/>
      <c r="T35" s="2">
        <v>8</v>
      </c>
      <c r="U35" s="2" t="s">
        <v>147</v>
      </c>
      <c r="V35" s="2"/>
      <c r="W35" s="2"/>
      <c r="X35" s="118"/>
      <c r="Y35" s="3" t="s">
        <v>148</v>
      </c>
      <c r="Z35" s="2"/>
    </row>
    <row r="36" spans="1:26" ht="28.5" customHeight="1" x14ac:dyDescent="0.2">
      <c r="A36" s="39" t="s">
        <v>149</v>
      </c>
      <c r="B36" s="86" t="s">
        <v>150</v>
      </c>
      <c r="C36" s="87"/>
      <c r="D36" s="88"/>
      <c r="E36" s="43" t="s">
        <v>4</v>
      </c>
      <c r="F36" s="86" t="s">
        <v>151</v>
      </c>
      <c r="G36" s="87"/>
      <c r="H36" s="87"/>
      <c r="I36" s="87"/>
      <c r="J36" s="88"/>
      <c r="K36" s="86" t="s">
        <v>152</v>
      </c>
      <c r="L36" s="89"/>
      <c r="M36" s="2"/>
      <c r="N36" s="2"/>
      <c r="O36" s="5">
        <v>2546</v>
      </c>
      <c r="P36" s="8" t="s">
        <v>153</v>
      </c>
      <c r="Q36" s="7" t="s">
        <v>10</v>
      </c>
      <c r="R36" s="5">
        <v>2546</v>
      </c>
      <c r="S36" s="2"/>
      <c r="T36" s="2">
        <v>9</v>
      </c>
      <c r="U36" s="2" t="s">
        <v>154</v>
      </c>
      <c r="V36" s="2"/>
      <c r="W36" s="2"/>
      <c r="X36" s="118"/>
      <c r="Y36" s="3" t="s">
        <v>155</v>
      </c>
      <c r="Z36" s="2"/>
    </row>
    <row r="37" spans="1:26" ht="15" customHeight="1" x14ac:dyDescent="0.2">
      <c r="A37" s="44"/>
      <c r="B37" s="113"/>
      <c r="C37" s="87"/>
      <c r="D37" s="88"/>
      <c r="E37" s="45"/>
      <c r="F37" s="113"/>
      <c r="G37" s="87"/>
      <c r="H37" s="87"/>
      <c r="I37" s="87"/>
      <c r="J37" s="88"/>
      <c r="K37" s="113"/>
      <c r="L37" s="89"/>
      <c r="M37" s="2"/>
      <c r="N37" s="2"/>
      <c r="O37" s="5">
        <v>2548</v>
      </c>
      <c r="P37" s="8" t="s">
        <v>156</v>
      </c>
      <c r="Q37" s="7" t="s">
        <v>10</v>
      </c>
      <c r="R37" s="5">
        <v>2548</v>
      </c>
      <c r="S37" s="2"/>
      <c r="T37" s="2">
        <v>11</v>
      </c>
      <c r="U37" s="2" t="s">
        <v>157</v>
      </c>
      <c r="V37" s="2"/>
      <c r="W37" s="2"/>
      <c r="X37" s="119"/>
      <c r="Y37" s="3" t="s">
        <v>158</v>
      </c>
      <c r="Z37" s="2"/>
    </row>
    <row r="38" spans="1:26" ht="15" customHeight="1" x14ac:dyDescent="0.2">
      <c r="A38" s="44" t="str">
        <f>+IF(B38=""," ",VLOOKUP(B38,'Formato Asignatura Pregrado'!$P$3:$R$62,3,FALSE))</f>
        <v xml:space="preserve"> </v>
      </c>
      <c r="B38" s="113"/>
      <c r="C38" s="87"/>
      <c r="D38" s="88"/>
      <c r="E38" s="45"/>
      <c r="F38" s="113"/>
      <c r="G38" s="87"/>
      <c r="H38" s="87"/>
      <c r="I38" s="87"/>
      <c r="J38" s="88"/>
      <c r="K38" s="113"/>
      <c r="L38" s="89"/>
      <c r="M38" s="2"/>
      <c r="N38" s="2"/>
      <c r="O38" s="5">
        <v>2512</v>
      </c>
      <c r="P38" s="8" t="s">
        <v>159</v>
      </c>
      <c r="Q38" s="7" t="s">
        <v>10</v>
      </c>
      <c r="R38" s="5">
        <v>2512</v>
      </c>
      <c r="S38" s="2"/>
      <c r="T38" s="2">
        <v>18</v>
      </c>
      <c r="U38" s="2"/>
      <c r="V38" s="2"/>
      <c r="W38" s="2"/>
      <c r="X38" s="18"/>
      <c r="Y38" s="3" t="s">
        <v>160</v>
      </c>
      <c r="Z38" s="2"/>
    </row>
    <row r="39" spans="1:26" ht="15" customHeight="1" x14ac:dyDescent="0.2">
      <c r="A39" s="44" t="str">
        <f>+IF(B39=""," ",VLOOKUP(B39,'Formato Asignatura Pregrado'!$P$3:$R$62,3,FALSE))</f>
        <v xml:space="preserve"> </v>
      </c>
      <c r="B39" s="113"/>
      <c r="C39" s="87"/>
      <c r="D39" s="88"/>
      <c r="E39" s="45"/>
      <c r="F39" s="113"/>
      <c r="G39" s="87"/>
      <c r="H39" s="87"/>
      <c r="I39" s="87"/>
      <c r="J39" s="88"/>
      <c r="K39" s="113"/>
      <c r="L39" s="89"/>
      <c r="M39" s="2"/>
      <c r="N39" s="2"/>
      <c r="O39" s="5">
        <v>2553</v>
      </c>
      <c r="P39" s="8" t="s">
        <v>161</v>
      </c>
      <c r="Q39" s="7" t="s">
        <v>10</v>
      </c>
      <c r="R39" s="5">
        <v>2553</v>
      </c>
      <c r="S39" s="2"/>
      <c r="T39" s="2">
        <v>19</v>
      </c>
      <c r="U39" s="2"/>
      <c r="V39" s="2"/>
      <c r="W39" s="2"/>
      <c r="X39" s="117" t="s">
        <v>162</v>
      </c>
      <c r="Y39" s="3" t="s">
        <v>163</v>
      </c>
      <c r="Z39" s="2"/>
    </row>
    <row r="40" spans="1:26" ht="15" customHeight="1" x14ac:dyDescent="0.2">
      <c r="A40" s="46" t="str">
        <f>+IF(B40=""," ",VLOOKUP(B40,'Formato Asignatura Pregrado'!$P$3:$R$62,3,FALSE))</f>
        <v xml:space="preserve"> </v>
      </c>
      <c r="B40" s="135"/>
      <c r="C40" s="105"/>
      <c r="D40" s="129"/>
      <c r="E40" s="47"/>
      <c r="F40" s="135"/>
      <c r="G40" s="105"/>
      <c r="H40" s="105"/>
      <c r="I40" s="105"/>
      <c r="J40" s="129"/>
      <c r="K40" s="135"/>
      <c r="L40" s="106"/>
      <c r="M40" s="2"/>
      <c r="N40" s="2"/>
      <c r="O40" s="5">
        <v>2557</v>
      </c>
      <c r="P40" s="8" t="s">
        <v>164</v>
      </c>
      <c r="Q40" s="7" t="s">
        <v>10</v>
      </c>
      <c r="R40" s="5">
        <v>2557</v>
      </c>
      <c r="S40" s="2"/>
      <c r="T40" s="2">
        <v>20</v>
      </c>
      <c r="U40" s="2"/>
      <c r="V40" s="2"/>
      <c r="W40" s="2"/>
      <c r="X40" s="119"/>
      <c r="Y40" s="3" t="s">
        <v>165</v>
      </c>
      <c r="Z40" s="2"/>
    </row>
    <row r="41" spans="1:26" ht="13.5" customHeight="1" x14ac:dyDescent="0.2">
      <c r="A41" s="10"/>
      <c r="B41" s="10"/>
      <c r="C41" s="10"/>
      <c r="D41" s="10"/>
      <c r="E41" s="10"/>
      <c r="F41" s="10"/>
      <c r="G41" s="10"/>
      <c r="H41" s="10"/>
      <c r="I41" s="10"/>
      <c r="J41" s="10"/>
      <c r="K41" s="10"/>
      <c r="L41" s="10"/>
      <c r="M41" s="2"/>
      <c r="N41" s="2"/>
      <c r="O41" s="5">
        <v>2535</v>
      </c>
      <c r="P41" s="8" t="s">
        <v>166</v>
      </c>
      <c r="Q41" s="7" t="s">
        <v>10</v>
      </c>
      <c r="R41" s="5">
        <v>2535</v>
      </c>
      <c r="S41" s="2"/>
      <c r="T41" s="2">
        <v>21</v>
      </c>
      <c r="U41" s="2"/>
      <c r="V41" s="2"/>
      <c r="W41" s="2"/>
      <c r="X41" s="117" t="s">
        <v>167</v>
      </c>
      <c r="Y41" s="3" t="s">
        <v>168</v>
      </c>
      <c r="Z41" s="2"/>
    </row>
    <row r="42" spans="1:26" ht="21" customHeight="1" x14ac:dyDescent="0.2">
      <c r="A42" s="121" t="s">
        <v>169</v>
      </c>
      <c r="B42" s="96"/>
      <c r="C42" s="96"/>
      <c r="D42" s="96"/>
      <c r="E42" s="96"/>
      <c r="F42" s="122"/>
      <c r="G42" s="48" t="s">
        <v>170</v>
      </c>
      <c r="H42" s="49"/>
      <c r="I42" s="48" t="s">
        <v>171</v>
      </c>
      <c r="J42" s="49"/>
      <c r="K42" s="73" t="s">
        <v>235</v>
      </c>
      <c r="L42" s="50"/>
      <c r="M42" s="2"/>
      <c r="N42" s="2"/>
      <c r="O42" s="5">
        <v>2519</v>
      </c>
      <c r="P42" s="8" t="s">
        <v>172</v>
      </c>
      <c r="Q42" s="7" t="s">
        <v>10</v>
      </c>
      <c r="R42" s="5">
        <v>2519</v>
      </c>
      <c r="S42" s="2"/>
      <c r="T42" s="2">
        <v>22</v>
      </c>
      <c r="U42" s="2"/>
      <c r="V42" s="2"/>
      <c r="W42" s="2"/>
      <c r="X42" s="118"/>
      <c r="Y42" s="3" t="s">
        <v>173</v>
      </c>
      <c r="Z42" s="2"/>
    </row>
    <row r="43" spans="1:26" ht="15" customHeight="1" x14ac:dyDescent="0.2">
      <c r="A43" s="10"/>
      <c r="B43" s="10"/>
      <c r="C43" s="10"/>
      <c r="D43" s="10"/>
      <c r="E43" s="10"/>
      <c r="F43" s="10"/>
      <c r="G43" s="10"/>
      <c r="H43" s="10"/>
      <c r="I43" s="10"/>
      <c r="J43" s="10"/>
      <c r="K43" s="10"/>
      <c r="L43" s="10"/>
      <c r="M43" s="2"/>
      <c r="N43" s="2"/>
      <c r="O43" s="5">
        <v>2536</v>
      </c>
      <c r="P43" s="8" t="s">
        <v>174</v>
      </c>
      <c r="Q43" s="7" t="s">
        <v>10</v>
      </c>
      <c r="R43" s="5">
        <v>2536</v>
      </c>
      <c r="S43" s="2"/>
      <c r="T43" s="2">
        <v>23</v>
      </c>
      <c r="U43" s="2"/>
      <c r="V43" s="2"/>
      <c r="W43" s="2"/>
      <c r="X43" s="118"/>
      <c r="Y43" s="3" t="s">
        <v>175</v>
      </c>
      <c r="Z43" s="2"/>
    </row>
    <row r="44" spans="1:26" ht="15" customHeight="1" x14ac:dyDescent="0.2">
      <c r="A44" s="127" t="s">
        <v>176</v>
      </c>
      <c r="B44" s="96"/>
      <c r="C44" s="96"/>
      <c r="D44" s="96"/>
      <c r="E44" s="96"/>
      <c r="F44" s="96"/>
      <c r="G44" s="96"/>
      <c r="H44" s="96"/>
      <c r="I44" s="96"/>
      <c r="J44" s="96"/>
      <c r="K44" s="96"/>
      <c r="L44" s="97"/>
      <c r="M44" s="2"/>
      <c r="N44" s="2"/>
      <c r="O44" s="5">
        <v>2554</v>
      </c>
      <c r="P44" s="8" t="s">
        <v>177</v>
      </c>
      <c r="Q44" s="7" t="s">
        <v>10</v>
      </c>
      <c r="R44" s="5">
        <v>2554</v>
      </c>
      <c r="S44" s="2"/>
      <c r="T44" s="2">
        <v>24</v>
      </c>
      <c r="U44" s="2"/>
      <c r="V44" s="2"/>
      <c r="W44" s="2"/>
      <c r="X44" s="118"/>
      <c r="Y44" s="3" t="s">
        <v>178</v>
      </c>
      <c r="Z44" s="2"/>
    </row>
    <row r="45" spans="1:26" ht="15" customHeight="1" x14ac:dyDescent="0.2">
      <c r="A45" s="10"/>
      <c r="B45" s="10"/>
      <c r="C45" s="10"/>
      <c r="D45" s="10"/>
      <c r="E45" s="10"/>
      <c r="F45" s="10"/>
      <c r="G45" s="10"/>
      <c r="H45" s="10"/>
      <c r="I45" s="10"/>
      <c r="J45" s="10"/>
      <c r="K45" s="10"/>
      <c r="L45" s="10"/>
      <c r="M45" s="2"/>
      <c r="N45" s="2"/>
      <c r="O45" s="5">
        <v>2537</v>
      </c>
      <c r="P45" s="8" t="s">
        <v>179</v>
      </c>
      <c r="Q45" s="7" t="s">
        <v>10</v>
      </c>
      <c r="R45" s="5">
        <v>2537</v>
      </c>
      <c r="S45" s="2"/>
      <c r="T45" s="2">
        <v>25</v>
      </c>
      <c r="U45" s="2"/>
      <c r="V45" s="2"/>
      <c r="W45" s="2"/>
      <c r="X45" s="119"/>
      <c r="Y45" s="3" t="s">
        <v>180</v>
      </c>
      <c r="Z45" s="2"/>
    </row>
    <row r="46" spans="1:26" ht="15" customHeight="1" thickBot="1" x14ac:dyDescent="0.25">
      <c r="A46" s="81" t="s">
        <v>181</v>
      </c>
      <c r="B46" s="82"/>
      <c r="C46" s="82"/>
      <c r="D46" s="82"/>
      <c r="E46" s="82"/>
      <c r="F46" s="82"/>
      <c r="G46" s="82"/>
      <c r="H46" s="82"/>
      <c r="I46" s="82"/>
      <c r="J46" s="82"/>
      <c r="K46" s="82"/>
      <c r="L46" s="83"/>
      <c r="M46" s="2"/>
      <c r="N46" s="2"/>
      <c r="O46" s="51">
        <v>2556</v>
      </c>
      <c r="P46" s="52" t="s">
        <v>182</v>
      </c>
      <c r="Q46" s="53" t="s">
        <v>10</v>
      </c>
      <c r="R46" s="51">
        <v>2556</v>
      </c>
      <c r="S46" s="2"/>
      <c r="T46" s="2">
        <v>26</v>
      </c>
      <c r="U46" s="2"/>
      <c r="V46" s="2"/>
      <c r="W46" s="2"/>
      <c r="X46" s="120" t="s">
        <v>183</v>
      </c>
      <c r="Y46" s="3" t="s">
        <v>184</v>
      </c>
      <c r="Z46" s="2"/>
    </row>
    <row r="47" spans="1:26" ht="138" customHeight="1" thickTop="1" thickBot="1" x14ac:dyDescent="0.25">
      <c r="A47" s="107" t="s">
        <v>270</v>
      </c>
      <c r="B47" s="108"/>
      <c r="C47" s="108"/>
      <c r="D47" s="108"/>
      <c r="E47" s="108"/>
      <c r="F47" s="108"/>
      <c r="G47" s="108"/>
      <c r="H47" s="108"/>
      <c r="I47" s="108"/>
      <c r="J47" s="108"/>
      <c r="K47" s="108"/>
      <c r="L47" s="109"/>
      <c r="M47" s="2"/>
      <c r="N47" s="2"/>
      <c r="O47" s="5">
        <v>4021</v>
      </c>
      <c r="P47" s="8" t="s">
        <v>185</v>
      </c>
      <c r="Q47" s="7" t="s">
        <v>61</v>
      </c>
      <c r="R47" s="5">
        <v>4021</v>
      </c>
      <c r="S47" s="2"/>
      <c r="T47" s="2"/>
      <c r="U47" s="2"/>
      <c r="V47" s="2"/>
      <c r="W47" s="2"/>
      <c r="X47" s="118"/>
      <c r="Y47" s="3" t="s">
        <v>186</v>
      </c>
      <c r="Z47" s="2"/>
    </row>
    <row r="48" spans="1:26" ht="15" customHeight="1" thickBot="1" x14ac:dyDescent="0.25">
      <c r="A48" s="10"/>
      <c r="B48" s="10"/>
      <c r="C48" s="10"/>
      <c r="D48" s="10"/>
      <c r="E48" s="10"/>
      <c r="F48" s="10"/>
      <c r="G48" s="10"/>
      <c r="H48" s="10"/>
      <c r="I48" s="10"/>
      <c r="J48" s="10"/>
      <c r="K48" s="10"/>
      <c r="L48" s="10"/>
      <c r="M48" s="2"/>
      <c r="N48" s="2"/>
      <c r="O48" s="5">
        <v>4022</v>
      </c>
      <c r="P48" s="8" t="s">
        <v>187</v>
      </c>
      <c r="Q48" s="7" t="s">
        <v>61</v>
      </c>
      <c r="R48" s="5">
        <v>4022</v>
      </c>
      <c r="S48" s="2"/>
      <c r="T48" s="2"/>
      <c r="U48" s="2" t="s">
        <v>188</v>
      </c>
      <c r="V48" s="2"/>
      <c r="W48" s="2"/>
      <c r="X48" s="118"/>
      <c r="Y48" s="3" t="s">
        <v>189</v>
      </c>
      <c r="Z48" s="2"/>
    </row>
    <row r="49" spans="1:26" ht="15" customHeight="1" x14ac:dyDescent="0.2">
      <c r="A49" s="81" t="s">
        <v>190</v>
      </c>
      <c r="B49" s="82"/>
      <c r="C49" s="82"/>
      <c r="D49" s="82"/>
      <c r="E49" s="82"/>
      <c r="F49" s="82"/>
      <c r="G49" s="82"/>
      <c r="H49" s="82"/>
      <c r="I49" s="82"/>
      <c r="J49" s="82"/>
      <c r="K49" s="82"/>
      <c r="L49" s="83"/>
      <c r="M49" s="2"/>
      <c r="N49" s="2"/>
      <c r="O49" s="5">
        <v>4028</v>
      </c>
      <c r="P49" s="8" t="s">
        <v>191</v>
      </c>
      <c r="Q49" s="7" t="s">
        <v>61</v>
      </c>
      <c r="R49" s="5">
        <v>4028</v>
      </c>
      <c r="S49" s="2"/>
      <c r="T49" s="2"/>
      <c r="U49" s="2" t="s">
        <v>192</v>
      </c>
      <c r="V49" s="2"/>
      <c r="W49" s="2"/>
      <c r="X49" s="118"/>
      <c r="Y49" s="3" t="s">
        <v>193</v>
      </c>
      <c r="Z49" s="2"/>
    </row>
    <row r="50" spans="1:26" ht="15" customHeight="1" x14ac:dyDescent="0.2">
      <c r="A50" s="123" t="s">
        <v>194</v>
      </c>
      <c r="B50" s="87"/>
      <c r="C50" s="87"/>
      <c r="D50" s="87"/>
      <c r="E50" s="88"/>
      <c r="F50" s="124" t="s">
        <v>195</v>
      </c>
      <c r="G50" s="87"/>
      <c r="H50" s="87"/>
      <c r="I50" s="87"/>
      <c r="J50" s="87"/>
      <c r="K50" s="87"/>
      <c r="L50" s="89"/>
      <c r="M50" s="54"/>
      <c r="N50" s="54"/>
      <c r="O50" s="5">
        <v>4030</v>
      </c>
      <c r="P50" s="8" t="s">
        <v>196</v>
      </c>
      <c r="Q50" s="7" t="s">
        <v>61</v>
      </c>
      <c r="R50" s="5">
        <v>4030</v>
      </c>
      <c r="S50" s="2"/>
      <c r="T50" s="2"/>
      <c r="U50" s="2"/>
      <c r="V50" s="2"/>
      <c r="W50" s="2"/>
      <c r="X50" s="118"/>
      <c r="Y50" s="3" t="s">
        <v>197</v>
      </c>
      <c r="Z50" s="54"/>
    </row>
    <row r="51" spans="1:26" ht="30" customHeight="1" thickBot="1" x14ac:dyDescent="0.25">
      <c r="A51" s="93" t="s">
        <v>198</v>
      </c>
      <c r="B51" s="87"/>
      <c r="C51" s="87"/>
      <c r="D51" s="87"/>
      <c r="E51" s="88"/>
      <c r="F51" s="110" t="s">
        <v>199</v>
      </c>
      <c r="G51" s="87"/>
      <c r="H51" s="87"/>
      <c r="I51" s="87"/>
      <c r="J51" s="87"/>
      <c r="K51" s="87"/>
      <c r="L51" s="89"/>
      <c r="M51" s="2"/>
      <c r="N51" s="2"/>
      <c r="O51" s="5">
        <v>4024</v>
      </c>
      <c r="P51" s="8" t="s">
        <v>200</v>
      </c>
      <c r="Q51" s="7" t="s">
        <v>61</v>
      </c>
      <c r="R51" s="5">
        <v>4024</v>
      </c>
      <c r="S51" s="2"/>
      <c r="T51" s="2"/>
      <c r="U51" s="2"/>
      <c r="V51" s="2"/>
      <c r="W51" s="2"/>
      <c r="X51" s="118"/>
      <c r="Y51" s="3" t="s">
        <v>201</v>
      </c>
      <c r="Z51" s="2"/>
    </row>
    <row r="52" spans="1:26" ht="86" customHeight="1" x14ac:dyDescent="0.2">
      <c r="A52" s="149" t="s">
        <v>238</v>
      </c>
      <c r="B52" s="150"/>
      <c r="C52" s="150"/>
      <c r="D52" s="150"/>
      <c r="E52" s="151"/>
      <c r="F52" s="152" t="s">
        <v>249</v>
      </c>
      <c r="G52" s="153"/>
      <c r="H52" s="153"/>
      <c r="I52" s="153"/>
      <c r="J52" s="153"/>
      <c r="K52" s="153"/>
      <c r="L52" s="154"/>
      <c r="M52" s="2"/>
      <c r="N52" s="2"/>
      <c r="O52" s="5">
        <v>4023</v>
      </c>
      <c r="P52" s="8" t="s">
        <v>202</v>
      </c>
      <c r="Q52" s="7" t="s">
        <v>61</v>
      </c>
      <c r="R52" s="5">
        <v>4023</v>
      </c>
      <c r="S52" s="2"/>
      <c r="T52" s="2"/>
      <c r="U52" s="2"/>
      <c r="V52" s="2"/>
      <c r="W52" s="2"/>
      <c r="X52" s="118"/>
      <c r="Y52" s="3" t="s">
        <v>203</v>
      </c>
      <c r="Z52" s="2"/>
    </row>
    <row r="53" spans="1:26" ht="15" customHeight="1" x14ac:dyDescent="0.2">
      <c r="A53" s="74"/>
      <c r="B53" s="67"/>
      <c r="C53" s="67"/>
      <c r="D53" s="67"/>
      <c r="E53" s="67"/>
      <c r="F53" s="75"/>
      <c r="G53" s="75"/>
      <c r="H53" s="75"/>
      <c r="I53" s="75"/>
      <c r="J53" s="75"/>
      <c r="K53" s="75"/>
      <c r="L53" s="71"/>
      <c r="M53" s="2"/>
      <c r="N53" s="2"/>
      <c r="O53" s="5">
        <v>3512</v>
      </c>
      <c r="P53" s="8" t="s">
        <v>204</v>
      </c>
      <c r="Q53" s="7" t="s">
        <v>68</v>
      </c>
      <c r="R53" s="5">
        <v>3512</v>
      </c>
      <c r="S53" s="2"/>
      <c r="T53" s="2"/>
      <c r="U53" s="2"/>
      <c r="V53" s="2"/>
      <c r="W53" s="2"/>
      <c r="X53" s="118"/>
      <c r="Y53" s="3" t="s">
        <v>205</v>
      </c>
      <c r="Z53" s="2"/>
    </row>
    <row r="54" spans="1:26" ht="66" customHeight="1" x14ac:dyDescent="0.2">
      <c r="A54" s="114" t="s">
        <v>239</v>
      </c>
      <c r="B54" s="115"/>
      <c r="C54" s="115"/>
      <c r="D54" s="115"/>
      <c r="E54" s="116"/>
      <c r="F54" s="90" t="s">
        <v>250</v>
      </c>
      <c r="G54" s="91"/>
      <c r="H54" s="91"/>
      <c r="I54" s="91"/>
      <c r="J54" s="91"/>
      <c r="K54" s="91"/>
      <c r="L54" s="155"/>
      <c r="M54" s="2"/>
      <c r="N54" s="2"/>
      <c r="O54" s="5">
        <v>3503</v>
      </c>
      <c r="P54" s="8" t="s">
        <v>206</v>
      </c>
      <c r="Q54" s="7" t="s">
        <v>68</v>
      </c>
      <c r="R54" s="5">
        <v>3503</v>
      </c>
      <c r="S54" s="2"/>
      <c r="T54" s="2"/>
      <c r="U54" s="2"/>
      <c r="V54" s="2"/>
      <c r="W54" s="2"/>
      <c r="X54" s="118"/>
      <c r="Y54" s="3" t="s">
        <v>207</v>
      </c>
      <c r="Z54" s="2"/>
    </row>
    <row r="55" spans="1:26" ht="15" customHeight="1" x14ac:dyDescent="0.2">
      <c r="A55" s="74"/>
      <c r="B55" s="67"/>
      <c r="C55" s="67"/>
      <c r="D55" s="67"/>
      <c r="E55" s="67"/>
      <c r="F55" s="75"/>
      <c r="G55" s="75"/>
      <c r="H55" s="75"/>
      <c r="I55" s="75"/>
      <c r="J55" s="75"/>
      <c r="K55" s="75"/>
      <c r="L55" s="71"/>
      <c r="M55" s="2"/>
      <c r="N55" s="2"/>
      <c r="O55" s="5">
        <v>3515</v>
      </c>
      <c r="P55" s="8" t="s">
        <v>208</v>
      </c>
      <c r="Q55" s="7" t="s">
        <v>68</v>
      </c>
      <c r="R55" s="5">
        <v>3515</v>
      </c>
      <c r="S55" s="2"/>
      <c r="T55" s="2"/>
      <c r="U55" s="2"/>
      <c r="V55" s="2"/>
      <c r="W55" s="2"/>
      <c r="X55" s="118"/>
      <c r="Y55" s="3" t="s">
        <v>209</v>
      </c>
      <c r="Z55" s="2"/>
    </row>
    <row r="56" spans="1:26" ht="70" customHeight="1" x14ac:dyDescent="0.2">
      <c r="A56" s="114" t="s">
        <v>240</v>
      </c>
      <c r="B56" s="115"/>
      <c r="C56" s="115"/>
      <c r="D56" s="115"/>
      <c r="E56" s="116"/>
      <c r="F56" s="90" t="s">
        <v>251</v>
      </c>
      <c r="G56" s="91"/>
      <c r="H56" s="91"/>
      <c r="I56" s="91"/>
      <c r="J56" s="91"/>
      <c r="K56" s="91"/>
      <c r="L56" s="92"/>
      <c r="M56" s="2"/>
      <c r="N56" s="2"/>
      <c r="O56" s="5">
        <v>3508</v>
      </c>
      <c r="P56" s="8" t="s">
        <v>210</v>
      </c>
      <c r="Q56" s="7" t="s">
        <v>68</v>
      </c>
      <c r="R56" s="5">
        <v>3508</v>
      </c>
      <c r="S56" s="2"/>
      <c r="T56" s="2"/>
      <c r="U56" s="2"/>
      <c r="V56" s="2"/>
      <c r="W56" s="2"/>
      <c r="X56" s="119"/>
      <c r="Y56" s="3" t="s">
        <v>211</v>
      </c>
      <c r="Z56" s="2"/>
    </row>
    <row r="57" spans="1:26" ht="21" customHeight="1" x14ac:dyDescent="0.2">
      <c r="A57" s="74"/>
      <c r="B57" s="67"/>
      <c r="C57" s="67"/>
      <c r="D57" s="67"/>
      <c r="E57" s="67"/>
      <c r="F57" s="75"/>
      <c r="G57" s="75"/>
      <c r="H57" s="75"/>
      <c r="I57" s="75"/>
      <c r="J57" s="75"/>
      <c r="K57" s="75"/>
      <c r="L57" s="71"/>
      <c r="M57" s="2"/>
      <c r="N57" s="2"/>
      <c r="O57" s="5">
        <v>3516</v>
      </c>
      <c r="P57" s="8" t="s">
        <v>212</v>
      </c>
      <c r="Q57" s="7" t="s">
        <v>68</v>
      </c>
      <c r="R57" s="5">
        <v>3516</v>
      </c>
      <c r="S57" s="2"/>
      <c r="T57" s="2"/>
      <c r="U57" s="2"/>
      <c r="V57" s="2"/>
      <c r="W57" s="2"/>
      <c r="X57" s="120"/>
      <c r="Y57" s="55" t="s">
        <v>213</v>
      </c>
      <c r="Z57" s="2"/>
    </row>
    <row r="58" spans="1:26" ht="75" customHeight="1" x14ac:dyDescent="0.2">
      <c r="A58" s="114" t="s">
        <v>241</v>
      </c>
      <c r="B58" s="115"/>
      <c r="C58" s="115"/>
      <c r="D58" s="115"/>
      <c r="E58" s="116"/>
      <c r="F58" s="90" t="s">
        <v>252</v>
      </c>
      <c r="G58" s="91"/>
      <c r="H58" s="91"/>
      <c r="I58" s="91"/>
      <c r="J58" s="91"/>
      <c r="K58" s="91"/>
      <c r="L58" s="92"/>
      <c r="M58" s="2"/>
      <c r="N58" s="2"/>
      <c r="O58" s="5">
        <v>3517</v>
      </c>
      <c r="P58" s="8" t="s">
        <v>214</v>
      </c>
      <c r="Q58" s="7" t="s">
        <v>68</v>
      </c>
      <c r="R58" s="5">
        <v>3517</v>
      </c>
      <c r="S58" s="2"/>
      <c r="T58" s="2"/>
      <c r="U58" s="2"/>
      <c r="V58" s="2"/>
      <c r="W58" s="2"/>
      <c r="X58" s="119"/>
      <c r="Y58" s="56" t="s">
        <v>215</v>
      </c>
      <c r="Z58" s="2"/>
    </row>
    <row r="59" spans="1:26" ht="15" customHeight="1" x14ac:dyDescent="0.2">
      <c r="A59" s="74"/>
      <c r="B59" s="67"/>
      <c r="C59" s="67"/>
      <c r="D59" s="67"/>
      <c r="E59" s="67"/>
      <c r="F59" s="75"/>
      <c r="G59" s="75"/>
      <c r="H59" s="75"/>
      <c r="I59" s="75"/>
      <c r="J59" s="75"/>
      <c r="K59" s="75"/>
      <c r="L59" s="71"/>
      <c r="M59" s="2"/>
      <c r="N59" s="2"/>
      <c r="O59" s="5">
        <v>3521</v>
      </c>
      <c r="P59" s="8" t="s">
        <v>216</v>
      </c>
      <c r="Q59" s="7" t="s">
        <v>68</v>
      </c>
      <c r="R59" s="5">
        <v>3521</v>
      </c>
      <c r="S59" s="2"/>
      <c r="T59" s="2"/>
      <c r="U59" s="2"/>
      <c r="V59" s="2"/>
      <c r="W59" s="2"/>
      <c r="X59" s="131" t="s">
        <v>217</v>
      </c>
      <c r="Y59" s="3" t="s">
        <v>218</v>
      </c>
      <c r="Z59" s="2"/>
    </row>
    <row r="60" spans="1:26" ht="68" customHeight="1" x14ac:dyDescent="0.2">
      <c r="A60" s="114" t="s">
        <v>242</v>
      </c>
      <c r="B60" s="115"/>
      <c r="C60" s="115"/>
      <c r="D60" s="115"/>
      <c r="E60" s="116"/>
      <c r="F60" s="90" t="s">
        <v>253</v>
      </c>
      <c r="G60" s="91"/>
      <c r="H60" s="91"/>
      <c r="I60" s="91"/>
      <c r="J60" s="91"/>
      <c r="K60" s="91"/>
      <c r="L60" s="92"/>
      <c r="M60" s="2"/>
      <c r="N60" s="2"/>
      <c r="O60" s="5">
        <v>3506</v>
      </c>
      <c r="P60" s="8" t="s">
        <v>219</v>
      </c>
      <c r="Q60" s="7" t="s">
        <v>68</v>
      </c>
      <c r="R60" s="5">
        <v>3506</v>
      </c>
      <c r="S60" s="2"/>
      <c r="T60" s="2"/>
      <c r="U60" s="2"/>
      <c r="V60" s="2"/>
      <c r="W60" s="2"/>
      <c r="X60" s="119"/>
      <c r="Y60" s="3" t="s">
        <v>220</v>
      </c>
      <c r="Z60" s="2"/>
    </row>
    <row r="61" spans="1:26" ht="15" customHeight="1" x14ac:dyDescent="0.2">
      <c r="A61" s="74"/>
      <c r="B61" s="67"/>
      <c r="C61" s="67"/>
      <c r="D61" s="67"/>
      <c r="E61" s="67"/>
      <c r="F61" s="75"/>
      <c r="G61" s="75"/>
      <c r="H61" s="75"/>
      <c r="I61" s="75"/>
      <c r="J61" s="75"/>
      <c r="K61" s="75"/>
      <c r="L61" s="71"/>
      <c r="M61" s="2"/>
      <c r="N61" s="2"/>
      <c r="O61" s="5">
        <v>3524</v>
      </c>
      <c r="P61" s="8" t="s">
        <v>221</v>
      </c>
      <c r="Q61" s="7" t="s">
        <v>68</v>
      </c>
      <c r="R61" s="5">
        <v>3524</v>
      </c>
      <c r="S61" s="2"/>
      <c r="T61" s="2"/>
      <c r="U61" s="2"/>
      <c r="V61" s="2"/>
      <c r="W61" s="2"/>
      <c r="X61" s="118"/>
      <c r="Y61" s="3" t="s">
        <v>222</v>
      </c>
      <c r="Z61" s="2"/>
    </row>
    <row r="62" spans="1:26" ht="68" customHeight="1" x14ac:dyDescent="0.2">
      <c r="A62" s="114" t="s">
        <v>243</v>
      </c>
      <c r="B62" s="115"/>
      <c r="C62" s="115"/>
      <c r="D62" s="115"/>
      <c r="E62" s="116"/>
      <c r="F62" s="90" t="s">
        <v>254</v>
      </c>
      <c r="G62" s="91"/>
      <c r="H62" s="91"/>
      <c r="I62" s="91"/>
      <c r="J62" s="91"/>
      <c r="K62" s="91"/>
      <c r="L62" s="92"/>
      <c r="M62" s="2"/>
      <c r="N62" s="2"/>
      <c r="O62" s="57">
        <v>3525</v>
      </c>
      <c r="P62" s="58" t="s">
        <v>223</v>
      </c>
      <c r="Q62" s="59" t="s">
        <v>68</v>
      </c>
      <c r="R62" s="57">
        <v>3525</v>
      </c>
      <c r="S62" s="2"/>
      <c r="T62" s="2"/>
      <c r="U62" s="2"/>
      <c r="V62" s="2"/>
      <c r="W62" s="2"/>
      <c r="X62" s="119"/>
      <c r="Y62" s="60" t="s">
        <v>224</v>
      </c>
      <c r="Z62" s="2"/>
    </row>
    <row r="63" spans="1:26" ht="15" customHeight="1" x14ac:dyDescent="0.2">
      <c r="A63" s="74"/>
      <c r="B63" s="67"/>
      <c r="C63" s="67"/>
      <c r="D63" s="67"/>
      <c r="E63" s="67"/>
      <c r="F63" s="75"/>
      <c r="G63" s="75"/>
      <c r="H63" s="75"/>
      <c r="I63" s="75"/>
      <c r="J63" s="75"/>
      <c r="K63" s="75"/>
      <c r="L63" s="71"/>
      <c r="M63" s="61"/>
      <c r="N63" s="61"/>
      <c r="Z63" s="61"/>
    </row>
    <row r="64" spans="1:26" ht="68" customHeight="1" x14ac:dyDescent="0.2">
      <c r="A64" s="114" t="s">
        <v>244</v>
      </c>
      <c r="B64" s="115"/>
      <c r="C64" s="115"/>
      <c r="D64" s="115"/>
      <c r="E64" s="116"/>
      <c r="F64" s="90" t="s">
        <v>255</v>
      </c>
      <c r="G64" s="91"/>
      <c r="H64" s="91"/>
      <c r="I64" s="91"/>
      <c r="J64" s="91"/>
      <c r="K64" s="91"/>
      <c r="L64" s="92"/>
      <c r="M64" s="61"/>
      <c r="N64" s="61"/>
      <c r="Z64" s="61"/>
    </row>
    <row r="65" spans="1:26" ht="15" customHeight="1" x14ac:dyDescent="0.2">
      <c r="A65" s="74"/>
      <c r="B65" s="67"/>
      <c r="C65" s="67"/>
      <c r="D65" s="67"/>
      <c r="E65" s="67"/>
      <c r="F65" s="75"/>
      <c r="G65" s="75"/>
      <c r="H65" s="75"/>
      <c r="I65" s="75"/>
      <c r="J65" s="75"/>
      <c r="K65" s="75"/>
      <c r="L65" s="71"/>
      <c r="M65" s="61"/>
      <c r="N65" s="61"/>
      <c r="Z65" s="61"/>
    </row>
    <row r="66" spans="1:26" ht="59" customHeight="1" x14ac:dyDescent="0.2">
      <c r="A66" s="114" t="s">
        <v>245</v>
      </c>
      <c r="B66" s="115"/>
      <c r="C66" s="115"/>
      <c r="D66" s="115"/>
      <c r="E66" s="116"/>
      <c r="F66" s="90" t="s">
        <v>256</v>
      </c>
      <c r="G66" s="91"/>
      <c r="H66" s="91"/>
      <c r="I66" s="91"/>
      <c r="J66" s="91"/>
      <c r="K66" s="91"/>
      <c r="L66" s="92"/>
      <c r="M66" s="61"/>
      <c r="N66" s="61"/>
      <c r="Z66" s="61"/>
    </row>
    <row r="67" spans="1:26" ht="15" customHeight="1" x14ac:dyDescent="0.2">
      <c r="A67" s="74"/>
      <c r="B67" s="67"/>
      <c r="C67" s="67"/>
      <c r="D67" s="67"/>
      <c r="E67" s="67"/>
      <c r="F67" s="75"/>
      <c r="G67" s="75"/>
      <c r="H67" s="75"/>
      <c r="I67" s="75"/>
      <c r="J67" s="75"/>
      <c r="K67" s="75"/>
      <c r="L67" s="71"/>
      <c r="M67" s="61"/>
      <c r="N67" s="61"/>
      <c r="Z67" s="61"/>
    </row>
    <row r="68" spans="1:26" ht="67" customHeight="1" x14ac:dyDescent="0.2">
      <c r="A68" s="114" t="s">
        <v>246</v>
      </c>
      <c r="B68" s="115"/>
      <c r="C68" s="115"/>
      <c r="D68" s="115"/>
      <c r="E68" s="116"/>
      <c r="F68" s="90" t="s">
        <v>257</v>
      </c>
      <c r="G68" s="91"/>
      <c r="H68" s="91"/>
      <c r="I68" s="91"/>
      <c r="J68" s="91"/>
      <c r="K68" s="91"/>
      <c r="L68" s="92"/>
      <c r="M68" s="61"/>
      <c r="N68" s="61"/>
      <c r="Z68" s="61"/>
    </row>
    <row r="69" spans="1:26" ht="15" customHeight="1" x14ac:dyDescent="0.2">
      <c r="A69" s="77"/>
      <c r="B69" s="78"/>
      <c r="C69" s="78"/>
      <c r="D69" s="78"/>
      <c r="E69" s="78"/>
      <c r="F69" s="75"/>
      <c r="G69" s="75"/>
      <c r="H69" s="75"/>
      <c r="I69" s="75"/>
      <c r="J69" s="75"/>
      <c r="K69" s="75"/>
      <c r="L69" s="71"/>
      <c r="M69" s="61"/>
      <c r="N69" s="61"/>
      <c r="Z69" s="61"/>
    </row>
    <row r="70" spans="1:26" ht="68" customHeight="1" x14ac:dyDescent="0.2">
      <c r="A70" s="114" t="s">
        <v>247</v>
      </c>
      <c r="B70" s="115"/>
      <c r="C70" s="115"/>
      <c r="D70" s="115"/>
      <c r="E70" s="116"/>
      <c r="F70" s="90" t="s">
        <v>258</v>
      </c>
      <c r="G70" s="91"/>
      <c r="H70" s="91"/>
      <c r="I70" s="91"/>
      <c r="J70" s="91"/>
      <c r="K70" s="91"/>
      <c r="L70" s="92"/>
      <c r="M70" s="61"/>
      <c r="N70" s="61"/>
      <c r="Z70" s="61"/>
    </row>
    <row r="71" spans="1:26" ht="15" customHeight="1" x14ac:dyDescent="0.2">
      <c r="A71" s="77"/>
      <c r="B71" s="78"/>
      <c r="C71" s="78"/>
      <c r="D71" s="78"/>
      <c r="E71" s="78"/>
      <c r="F71" s="75"/>
      <c r="G71" s="75"/>
      <c r="H71" s="75"/>
      <c r="I71" s="75"/>
      <c r="J71" s="75"/>
      <c r="K71" s="75"/>
      <c r="L71" s="71"/>
      <c r="M71" s="61"/>
      <c r="N71" s="61"/>
      <c r="Z71" s="61"/>
    </row>
    <row r="72" spans="1:26" ht="90" customHeight="1" x14ac:dyDescent="0.2">
      <c r="A72" s="114" t="s">
        <v>248</v>
      </c>
      <c r="B72" s="115"/>
      <c r="C72" s="115"/>
      <c r="D72" s="115"/>
      <c r="E72" s="116"/>
      <c r="F72" s="90" t="s">
        <v>259</v>
      </c>
      <c r="G72" s="91"/>
      <c r="H72" s="91"/>
      <c r="I72" s="91"/>
      <c r="J72" s="91"/>
      <c r="K72" s="91"/>
      <c r="L72" s="92"/>
      <c r="M72" s="61"/>
      <c r="N72" s="61"/>
      <c r="Z72" s="61"/>
    </row>
    <row r="73" spans="1:26" ht="15" customHeight="1" x14ac:dyDescent="0.2">
      <c r="A73" s="74"/>
      <c r="B73" s="67"/>
      <c r="C73" s="67"/>
      <c r="D73" s="67"/>
      <c r="E73" s="67"/>
      <c r="F73" s="75"/>
      <c r="G73" s="75"/>
      <c r="H73" s="75"/>
      <c r="I73" s="75"/>
      <c r="J73" s="75"/>
      <c r="K73" s="75"/>
      <c r="L73" s="71"/>
      <c r="M73" s="61"/>
      <c r="N73" s="61"/>
      <c r="Z73" s="61"/>
    </row>
    <row r="74" spans="1:26" ht="17" customHeight="1" x14ac:dyDescent="0.2">
      <c r="A74" s="173"/>
      <c r="B74" s="91"/>
      <c r="C74" s="91"/>
      <c r="D74" s="91"/>
      <c r="E74" s="155"/>
      <c r="F74" s="174"/>
      <c r="G74" s="91"/>
      <c r="H74" s="91"/>
      <c r="I74" s="91"/>
      <c r="J74" s="91"/>
      <c r="K74" s="91"/>
      <c r="L74" s="92"/>
      <c r="M74" s="61"/>
      <c r="N74" s="61"/>
      <c r="Z74" s="61"/>
    </row>
    <row r="75" spans="1:26" ht="15" customHeight="1" x14ac:dyDescent="0.2">
      <c r="A75" s="74"/>
      <c r="B75" s="67"/>
      <c r="C75" s="67"/>
      <c r="D75" s="67"/>
      <c r="E75" s="67"/>
      <c r="F75" s="76"/>
      <c r="G75" s="76"/>
      <c r="H75" s="76"/>
      <c r="I75" s="76"/>
      <c r="J75" s="76"/>
      <c r="K75" s="76"/>
      <c r="L75" s="68"/>
      <c r="M75" s="61"/>
      <c r="N75" s="61"/>
      <c r="Z75" s="61"/>
    </row>
    <row r="76" spans="1:26" ht="18" customHeight="1" x14ac:dyDescent="0.2">
      <c r="A76" s="173"/>
      <c r="B76" s="91"/>
      <c r="C76" s="91"/>
      <c r="D76" s="91"/>
      <c r="E76" s="155"/>
      <c r="F76" s="174"/>
      <c r="G76" s="91"/>
      <c r="H76" s="91"/>
      <c r="I76" s="91"/>
      <c r="J76" s="91"/>
      <c r="K76" s="91"/>
      <c r="L76" s="92"/>
      <c r="M76" s="61"/>
      <c r="N76" s="61"/>
      <c r="Z76" s="61"/>
    </row>
    <row r="77" spans="1:26" ht="15" customHeight="1" x14ac:dyDescent="0.2">
      <c r="A77" s="74"/>
      <c r="B77" s="67"/>
      <c r="C77" s="67"/>
      <c r="D77" s="67"/>
      <c r="E77" s="67"/>
      <c r="F77" s="76"/>
      <c r="G77" s="76"/>
      <c r="H77" s="76"/>
      <c r="I77" s="76"/>
      <c r="J77" s="76"/>
      <c r="K77" s="76"/>
      <c r="L77" s="68"/>
      <c r="M77" s="61"/>
      <c r="N77" s="61"/>
      <c r="Z77" s="61"/>
    </row>
    <row r="78" spans="1:26" ht="15" customHeight="1" x14ac:dyDescent="0.2">
      <c r="A78" s="114"/>
      <c r="B78" s="91"/>
      <c r="C78" s="91"/>
      <c r="D78" s="91"/>
      <c r="E78" s="155"/>
      <c r="F78" s="90"/>
      <c r="G78" s="91"/>
      <c r="H78" s="91"/>
      <c r="I78" s="91"/>
      <c r="J78" s="91"/>
      <c r="K78" s="91"/>
      <c r="L78" s="92"/>
      <c r="M78" s="61"/>
      <c r="N78" s="61"/>
      <c r="Z78" s="61"/>
    </row>
    <row r="79" spans="1:26" ht="15" customHeight="1" x14ac:dyDescent="0.2">
      <c r="A79" s="74"/>
      <c r="B79" s="67"/>
      <c r="C79" s="67"/>
      <c r="D79" s="67"/>
      <c r="E79" s="67"/>
      <c r="F79" s="75"/>
      <c r="G79" s="75"/>
      <c r="H79" s="75"/>
      <c r="I79" s="75"/>
      <c r="J79" s="75"/>
      <c r="K79" s="75"/>
      <c r="L79" s="71"/>
      <c r="M79" s="61"/>
      <c r="N79" s="61"/>
      <c r="Z79" s="61"/>
    </row>
    <row r="80" spans="1:26" ht="15" customHeight="1" x14ac:dyDescent="0.2">
      <c r="A80" s="114"/>
      <c r="B80" s="91"/>
      <c r="C80" s="91"/>
      <c r="D80" s="91"/>
      <c r="E80" s="155"/>
      <c r="F80" s="90"/>
      <c r="G80" s="91"/>
      <c r="H80" s="91"/>
      <c r="I80" s="91"/>
      <c r="J80" s="91"/>
      <c r="K80" s="91"/>
      <c r="L80" s="92"/>
      <c r="M80" s="61"/>
      <c r="N80" s="61"/>
      <c r="Z80" s="61"/>
    </row>
    <row r="81" spans="1:26" ht="15" customHeight="1" x14ac:dyDescent="0.2">
      <c r="A81" s="74"/>
      <c r="B81" s="67"/>
      <c r="C81" s="67"/>
      <c r="D81" s="67"/>
      <c r="E81" s="67"/>
      <c r="F81" s="75"/>
      <c r="G81" s="75"/>
      <c r="H81" s="75"/>
      <c r="I81" s="75"/>
      <c r="J81" s="75"/>
      <c r="K81" s="75"/>
      <c r="L81" s="71"/>
      <c r="M81" s="61"/>
      <c r="N81" s="61"/>
      <c r="Z81" s="61"/>
    </row>
    <row r="82" spans="1:26" ht="14" customHeight="1" thickBot="1" x14ac:dyDescent="0.25">
      <c r="A82" s="72"/>
      <c r="B82" s="69"/>
      <c r="C82" s="69"/>
      <c r="D82" s="69"/>
      <c r="E82" s="70"/>
      <c r="F82" s="175"/>
      <c r="G82" s="176"/>
      <c r="H82" s="176"/>
      <c r="I82" s="176"/>
      <c r="J82" s="176"/>
      <c r="K82" s="176"/>
      <c r="L82" s="177"/>
      <c r="M82" s="61"/>
      <c r="N82" s="61"/>
      <c r="Z82" s="61"/>
    </row>
    <row r="83" spans="1:26" ht="13.5" customHeight="1" thickBot="1" x14ac:dyDescent="0.25">
      <c r="A83" s="62"/>
      <c r="B83" s="62"/>
      <c r="C83" s="62"/>
      <c r="D83" s="62"/>
      <c r="E83" s="62"/>
      <c r="F83" s="62"/>
      <c r="G83" s="62"/>
      <c r="H83" s="62"/>
      <c r="I83" s="62"/>
      <c r="J83" s="62"/>
      <c r="K83" s="62"/>
      <c r="L83" s="62"/>
      <c r="M83" s="61"/>
      <c r="N83" s="61"/>
      <c r="Z83" s="61"/>
    </row>
    <row r="84" spans="1:26" ht="15" customHeight="1" x14ac:dyDescent="0.2">
      <c r="A84" s="81" t="s">
        <v>225</v>
      </c>
      <c r="B84" s="82"/>
      <c r="C84" s="82"/>
      <c r="D84" s="82"/>
      <c r="E84" s="82"/>
      <c r="F84" s="82"/>
      <c r="G84" s="82"/>
      <c r="H84" s="82"/>
      <c r="I84" s="82"/>
      <c r="J84" s="82"/>
      <c r="K84" s="82"/>
      <c r="L84" s="83"/>
      <c r="M84" s="61"/>
      <c r="N84" s="61"/>
      <c r="Z84" s="61"/>
    </row>
    <row r="85" spans="1:26" ht="12.75" customHeight="1" x14ac:dyDescent="0.2">
      <c r="A85" s="125" t="s">
        <v>226</v>
      </c>
      <c r="B85" s="87"/>
      <c r="C85" s="88"/>
      <c r="D85" s="86" t="s">
        <v>227</v>
      </c>
      <c r="E85" s="87"/>
      <c r="F85" s="87"/>
      <c r="G85" s="87"/>
      <c r="H85" s="88"/>
      <c r="I85" s="86" t="s">
        <v>228</v>
      </c>
      <c r="J85" s="87"/>
      <c r="K85" s="88"/>
      <c r="L85" s="63" t="s">
        <v>134</v>
      </c>
      <c r="M85" s="61"/>
      <c r="N85" s="61"/>
      <c r="Z85" s="61"/>
    </row>
    <row r="86" spans="1:26" ht="37" customHeight="1" x14ac:dyDescent="0.2">
      <c r="A86" s="126" t="s">
        <v>260</v>
      </c>
      <c r="B86" s="87"/>
      <c r="C86" s="88"/>
      <c r="D86" s="130" t="s">
        <v>261</v>
      </c>
      <c r="E86" s="87"/>
      <c r="F86" s="87"/>
      <c r="G86" s="87"/>
      <c r="H86" s="88"/>
      <c r="I86" s="130" t="s">
        <v>236</v>
      </c>
      <c r="J86" s="87"/>
      <c r="K86" s="88"/>
      <c r="L86" s="64">
        <v>2022</v>
      </c>
      <c r="M86" s="61"/>
      <c r="N86" s="61"/>
      <c r="Z86" s="61"/>
    </row>
    <row r="87" spans="1:26" ht="37" customHeight="1" x14ac:dyDescent="0.2">
      <c r="A87" s="126" t="s">
        <v>262</v>
      </c>
      <c r="B87" s="87"/>
      <c r="C87" s="88"/>
      <c r="D87" s="130" t="s">
        <v>263</v>
      </c>
      <c r="E87" s="87"/>
      <c r="F87" s="87"/>
      <c r="G87" s="87"/>
      <c r="H87" s="88"/>
      <c r="I87" s="130" t="s">
        <v>236</v>
      </c>
      <c r="J87" s="87"/>
      <c r="K87" s="88"/>
      <c r="L87" s="64">
        <v>2017</v>
      </c>
      <c r="M87" s="61"/>
      <c r="N87" s="61"/>
      <c r="Z87" s="61"/>
    </row>
    <row r="88" spans="1:26" ht="37" customHeight="1" x14ac:dyDescent="0.2">
      <c r="A88" s="126" t="s">
        <v>264</v>
      </c>
      <c r="B88" s="87"/>
      <c r="C88" s="88"/>
      <c r="D88" s="130" t="s">
        <v>265</v>
      </c>
      <c r="E88" s="87"/>
      <c r="F88" s="87"/>
      <c r="G88" s="87"/>
      <c r="H88" s="88"/>
      <c r="I88" s="130" t="s">
        <v>236</v>
      </c>
      <c r="J88" s="87"/>
      <c r="K88" s="88"/>
      <c r="L88" s="64">
        <v>2022</v>
      </c>
      <c r="M88" s="61"/>
      <c r="N88" s="61"/>
      <c r="Z88" s="61"/>
    </row>
    <row r="89" spans="1:26" ht="37" customHeight="1" x14ac:dyDescent="0.2">
      <c r="A89" s="126" t="s">
        <v>266</v>
      </c>
      <c r="B89" s="87"/>
      <c r="C89" s="88"/>
      <c r="D89" s="130" t="s">
        <v>267</v>
      </c>
      <c r="E89" s="87"/>
      <c r="F89" s="87"/>
      <c r="G89" s="87"/>
      <c r="H89" s="88"/>
      <c r="I89" s="130" t="s">
        <v>236</v>
      </c>
      <c r="J89" s="87"/>
      <c r="K89" s="88"/>
      <c r="L89" s="64">
        <v>2018</v>
      </c>
      <c r="M89" s="61"/>
      <c r="N89" s="61"/>
      <c r="Z89" s="61"/>
    </row>
    <row r="90" spans="1:26" ht="37" customHeight="1" x14ac:dyDescent="0.2">
      <c r="A90" s="126" t="s">
        <v>268</v>
      </c>
      <c r="B90" s="87"/>
      <c r="C90" s="88"/>
      <c r="D90" s="130" t="s">
        <v>269</v>
      </c>
      <c r="E90" s="87"/>
      <c r="F90" s="87"/>
      <c r="G90" s="87"/>
      <c r="H90" s="88"/>
      <c r="I90" s="130" t="s">
        <v>236</v>
      </c>
      <c r="J90" s="87"/>
      <c r="K90" s="88"/>
      <c r="L90" s="64">
        <v>2021</v>
      </c>
      <c r="M90" s="61"/>
      <c r="N90" s="61"/>
      <c r="Z90" s="61"/>
    </row>
    <row r="91" spans="1:26" ht="37" customHeight="1" x14ac:dyDescent="0.2">
      <c r="A91" s="93"/>
      <c r="B91" s="87"/>
      <c r="C91" s="88"/>
      <c r="D91" s="110"/>
      <c r="E91" s="87"/>
      <c r="F91" s="87"/>
      <c r="G91" s="87"/>
      <c r="H91" s="88"/>
      <c r="I91" s="110"/>
      <c r="J91" s="87"/>
      <c r="K91" s="88"/>
      <c r="L91" s="64"/>
      <c r="M91" s="61"/>
      <c r="N91" s="61"/>
      <c r="Z91" s="61"/>
    </row>
    <row r="92" spans="1:26" ht="37" customHeight="1" x14ac:dyDescent="0.2">
      <c r="A92" s="137"/>
      <c r="B92" s="105"/>
      <c r="C92" s="129"/>
      <c r="D92" s="128"/>
      <c r="E92" s="105"/>
      <c r="F92" s="105"/>
      <c r="G92" s="105"/>
      <c r="H92" s="129"/>
      <c r="I92" s="128"/>
      <c r="J92" s="105"/>
      <c r="K92" s="129"/>
      <c r="L92" s="65"/>
      <c r="M92" s="61"/>
      <c r="N92" s="61"/>
      <c r="Z92" s="61"/>
    </row>
    <row r="93" spans="1:26" ht="13.5" customHeight="1" x14ac:dyDescent="0.2">
      <c r="A93" s="139"/>
      <c r="B93" s="101"/>
      <c r="C93" s="101"/>
      <c r="D93" s="101"/>
      <c r="E93" s="101"/>
      <c r="F93" s="101"/>
      <c r="G93" s="101"/>
      <c r="H93" s="101"/>
      <c r="I93" s="101"/>
      <c r="J93" s="101"/>
      <c r="K93" s="101"/>
      <c r="L93" s="101"/>
      <c r="M93" s="61"/>
      <c r="N93" s="61"/>
      <c r="Z93" s="61"/>
    </row>
    <row r="94" spans="1:26" ht="15" customHeight="1" x14ac:dyDescent="0.2">
      <c r="A94" s="81" t="s">
        <v>229</v>
      </c>
      <c r="B94" s="82"/>
      <c r="C94" s="82"/>
      <c r="D94" s="82"/>
      <c r="E94" s="82"/>
      <c r="F94" s="82"/>
      <c r="G94" s="82"/>
      <c r="H94" s="82"/>
      <c r="I94" s="82"/>
      <c r="J94" s="82"/>
      <c r="K94" s="82"/>
      <c r="L94" s="83"/>
      <c r="M94" s="61"/>
      <c r="N94" s="61"/>
      <c r="Z94" s="61"/>
    </row>
    <row r="95" spans="1:26" ht="13.5" customHeight="1" x14ac:dyDescent="0.2">
      <c r="A95" s="137"/>
      <c r="B95" s="105"/>
      <c r="C95" s="105"/>
      <c r="D95" s="105"/>
      <c r="E95" s="105"/>
      <c r="F95" s="105"/>
      <c r="G95" s="105"/>
      <c r="H95" s="105"/>
      <c r="I95" s="105"/>
      <c r="J95" s="105"/>
      <c r="K95" s="105"/>
      <c r="L95" s="106"/>
      <c r="M95" s="61"/>
      <c r="N95" s="61"/>
      <c r="Z95" s="61"/>
    </row>
    <row r="96" spans="1:26" ht="13.5" customHeight="1" x14ac:dyDescent="0.2">
      <c r="A96" s="62"/>
      <c r="B96" s="62"/>
      <c r="C96" s="62"/>
      <c r="D96" s="62"/>
      <c r="E96" s="62"/>
      <c r="F96" s="62"/>
      <c r="G96" s="62"/>
      <c r="H96" s="62"/>
      <c r="I96" s="62"/>
      <c r="J96" s="62"/>
      <c r="K96" s="62"/>
      <c r="L96" s="62"/>
      <c r="M96" s="61"/>
      <c r="N96" s="61"/>
      <c r="Z96" s="61"/>
    </row>
    <row r="97" spans="1:26" ht="15" customHeight="1" x14ac:dyDescent="0.2">
      <c r="A97" s="138" t="s">
        <v>230</v>
      </c>
      <c r="B97" s="82"/>
      <c r="C97" s="82"/>
      <c r="D97" s="82"/>
      <c r="E97" s="82"/>
      <c r="F97" s="82"/>
      <c r="G97" s="82"/>
      <c r="H97" s="82"/>
      <c r="I97" s="82"/>
      <c r="J97" s="82"/>
      <c r="K97" s="82"/>
      <c r="L97" s="83"/>
      <c r="M97" s="61"/>
      <c r="N97" s="61"/>
      <c r="Z97" s="61"/>
    </row>
    <row r="98" spans="1:26" ht="13.5" customHeight="1" x14ac:dyDescent="0.2">
      <c r="A98" s="134" t="s">
        <v>231</v>
      </c>
      <c r="B98" s="105"/>
      <c r="C98" s="105"/>
      <c r="D98" s="129"/>
      <c r="E98" s="136"/>
      <c r="F98" s="105"/>
      <c r="G98" s="105"/>
      <c r="H98" s="129"/>
      <c r="I98" s="135" t="s">
        <v>232</v>
      </c>
      <c r="J98" s="105"/>
      <c r="K98" s="129"/>
      <c r="L98" s="65"/>
      <c r="M98" s="61"/>
      <c r="N98" s="61"/>
      <c r="Z98" s="61"/>
    </row>
    <row r="99" spans="1:26" ht="12.75" customHeight="1" x14ac:dyDescent="0.2">
      <c r="A99" s="30"/>
      <c r="B99" s="30"/>
      <c r="C99" s="66"/>
      <c r="D99" s="66"/>
      <c r="E99" s="66"/>
      <c r="F99" s="30"/>
      <c r="G99" s="30"/>
      <c r="H99" s="62"/>
      <c r="I99" s="62"/>
      <c r="J99" s="62"/>
      <c r="K99" s="62"/>
      <c r="L99" s="62"/>
      <c r="M99" s="61"/>
      <c r="N99" s="61"/>
      <c r="Z99" s="61"/>
    </row>
    <row r="100" spans="1:26" ht="12.75" customHeight="1" x14ac:dyDescent="0.2">
      <c r="A100" s="133" t="s">
        <v>233</v>
      </c>
      <c r="B100" s="101"/>
      <c r="C100" s="101"/>
      <c r="D100" s="101"/>
      <c r="E100" s="101"/>
      <c r="F100" s="101"/>
      <c r="G100" s="101"/>
      <c r="H100" s="101"/>
      <c r="I100" s="101"/>
      <c r="J100" s="101"/>
      <c r="K100" s="101"/>
      <c r="L100" s="101"/>
      <c r="M100" s="61"/>
      <c r="N100" s="61"/>
      <c r="Z100" s="61"/>
    </row>
    <row r="101" spans="1:26" ht="15" customHeight="1" x14ac:dyDescent="0.2">
      <c r="A101" s="132" t="s">
        <v>234</v>
      </c>
      <c r="B101" s="101"/>
      <c r="C101" s="101"/>
      <c r="D101" s="101"/>
      <c r="E101" s="101"/>
      <c r="F101" s="101"/>
      <c r="G101" s="101"/>
      <c r="H101" s="101"/>
      <c r="I101" s="101"/>
      <c r="J101" s="101"/>
      <c r="K101" s="101"/>
      <c r="L101" s="101"/>
      <c r="M101" s="61"/>
      <c r="N101" s="61"/>
      <c r="Z101" s="61"/>
    </row>
    <row r="102" spans="1:26" ht="12.75" customHeight="1" x14ac:dyDescent="0.2">
      <c r="A102" s="2"/>
      <c r="B102" s="2"/>
      <c r="C102" s="2"/>
      <c r="D102" s="2"/>
      <c r="E102" s="2"/>
      <c r="F102" s="2"/>
      <c r="G102" s="2"/>
      <c r="H102" s="2"/>
      <c r="I102" s="2"/>
      <c r="J102" s="2"/>
      <c r="K102" s="2"/>
      <c r="L102" s="2"/>
      <c r="M102" s="61"/>
      <c r="N102" s="61"/>
      <c r="Z102" s="61"/>
    </row>
  </sheetData>
  <mergeCells count="143">
    <mergeCell ref="O1:O2"/>
    <mergeCell ref="P1:P2"/>
    <mergeCell ref="Q1:Q2"/>
    <mergeCell ref="X1:X2"/>
    <mergeCell ref="X3:X13"/>
    <mergeCell ref="X15:X25"/>
    <mergeCell ref="X26:X28"/>
    <mergeCell ref="A52:E52"/>
    <mergeCell ref="A54:E54"/>
    <mergeCell ref="F52:L52"/>
    <mergeCell ref="F54:L54"/>
    <mergeCell ref="E11:I11"/>
    <mergeCell ref="E13:L13"/>
    <mergeCell ref="F16:L16"/>
    <mergeCell ref="A1:L1"/>
    <mergeCell ref="A2:L2"/>
    <mergeCell ref="A3:L3"/>
    <mergeCell ref="A4:L4"/>
    <mergeCell ref="A6:L6"/>
    <mergeCell ref="A7:L8"/>
    <mergeCell ref="F15:I15"/>
    <mergeCell ref="J15:L15"/>
    <mergeCell ref="A15:E15"/>
    <mergeCell ref="A13:D13"/>
    <mergeCell ref="A16:E16"/>
    <mergeCell ref="F40:J40"/>
    <mergeCell ref="F19:L19"/>
    <mergeCell ref="F36:J36"/>
    <mergeCell ref="K40:L40"/>
    <mergeCell ref="K36:L36"/>
    <mergeCell ref="K38:L38"/>
    <mergeCell ref="K39:L39"/>
    <mergeCell ref="A35:L35"/>
    <mergeCell ref="B33:J33"/>
    <mergeCell ref="K33:L33"/>
    <mergeCell ref="F38:J38"/>
    <mergeCell ref="F39:J39"/>
    <mergeCell ref="B36:D36"/>
    <mergeCell ref="B37:D37"/>
    <mergeCell ref="K37:L37"/>
    <mergeCell ref="F37:J37"/>
    <mergeCell ref="A19:E19"/>
    <mergeCell ref="A20:E20"/>
    <mergeCell ref="A22:F22"/>
    <mergeCell ref="H22:L22"/>
    <mergeCell ref="B40:D40"/>
    <mergeCell ref="A17:E17"/>
    <mergeCell ref="F17:L17"/>
    <mergeCell ref="A101:L101"/>
    <mergeCell ref="A100:L100"/>
    <mergeCell ref="A98:D98"/>
    <mergeCell ref="I98:K98"/>
    <mergeCell ref="E98:H98"/>
    <mergeCell ref="A91:C91"/>
    <mergeCell ref="A92:C92"/>
    <mergeCell ref="D85:H85"/>
    <mergeCell ref="D92:H92"/>
    <mergeCell ref="I87:K87"/>
    <mergeCell ref="A95:L95"/>
    <mergeCell ref="A97:L97"/>
    <mergeCell ref="A94:L94"/>
    <mergeCell ref="A93:L93"/>
    <mergeCell ref="I89:K89"/>
    <mergeCell ref="A90:C90"/>
    <mergeCell ref="D90:H90"/>
    <mergeCell ref="I90:K90"/>
    <mergeCell ref="D91:H91"/>
    <mergeCell ref="I92:K92"/>
    <mergeCell ref="A87:C87"/>
    <mergeCell ref="D87:H87"/>
    <mergeCell ref="A88:C88"/>
    <mergeCell ref="D88:H88"/>
    <mergeCell ref="I88:K88"/>
    <mergeCell ref="D86:H86"/>
    <mergeCell ref="I86:K86"/>
    <mergeCell ref="X59:X60"/>
    <mergeCell ref="X61:X62"/>
    <mergeCell ref="A89:C89"/>
    <mergeCell ref="D89:H89"/>
    <mergeCell ref="A64:E64"/>
    <mergeCell ref="A66:E66"/>
    <mergeCell ref="A68:E68"/>
    <mergeCell ref="A70:E70"/>
    <mergeCell ref="A72:E72"/>
    <mergeCell ref="A78:E78"/>
    <mergeCell ref="A80:E80"/>
    <mergeCell ref="F80:L80"/>
    <mergeCell ref="F78:L78"/>
    <mergeCell ref="A74:E74"/>
    <mergeCell ref="F74:L74"/>
    <mergeCell ref="A76:E76"/>
    <mergeCell ref="A84:L84"/>
    <mergeCell ref="A85:C85"/>
    <mergeCell ref="I85:K85"/>
    <mergeCell ref="A86:C86"/>
    <mergeCell ref="A49:L49"/>
    <mergeCell ref="F51:L51"/>
    <mergeCell ref="A44:L44"/>
    <mergeCell ref="A46:L46"/>
    <mergeCell ref="I91:K91"/>
    <mergeCell ref="F76:L76"/>
    <mergeCell ref="F58:L58"/>
    <mergeCell ref="F60:L60"/>
    <mergeCell ref="F62:L62"/>
    <mergeCell ref="F64:L64"/>
    <mergeCell ref="F66:L66"/>
    <mergeCell ref="F68:L68"/>
    <mergeCell ref="F70:L70"/>
    <mergeCell ref="F72:L72"/>
    <mergeCell ref="F82:L82"/>
    <mergeCell ref="A58:E58"/>
    <mergeCell ref="A60:E60"/>
    <mergeCell ref="A62:E62"/>
    <mergeCell ref="X41:X45"/>
    <mergeCell ref="X46:X56"/>
    <mergeCell ref="X29:X37"/>
    <mergeCell ref="X39:X40"/>
    <mergeCell ref="A42:F42"/>
    <mergeCell ref="A50:E50"/>
    <mergeCell ref="F50:L50"/>
    <mergeCell ref="A51:E51"/>
    <mergeCell ref="X57:X58"/>
    <mergeCell ref="H25:K25"/>
    <mergeCell ref="A27:L27"/>
    <mergeCell ref="C28:F28"/>
    <mergeCell ref="H28:K28"/>
    <mergeCell ref="A30:L30"/>
    <mergeCell ref="B31:J31"/>
    <mergeCell ref="K31:L31"/>
    <mergeCell ref="F56:L56"/>
    <mergeCell ref="A18:E18"/>
    <mergeCell ref="F18:L18"/>
    <mergeCell ref="A23:C23"/>
    <mergeCell ref="D23:E23"/>
    <mergeCell ref="H23:K24"/>
    <mergeCell ref="L23:L24"/>
    <mergeCell ref="F20:L20"/>
    <mergeCell ref="A47:L47"/>
    <mergeCell ref="B32:J32"/>
    <mergeCell ref="K32:L32"/>
    <mergeCell ref="B38:D38"/>
    <mergeCell ref="B39:D39"/>
    <mergeCell ref="A56:E56"/>
  </mergeCells>
  <dataValidations disablePrompts="1" count="4">
    <dataValidation type="list" allowBlank="1" showInputMessage="1" showErrorMessage="1" prompt=" - " sqref="K37:K40" xr:uid="{00000000-0002-0000-0000-000000000000}">
      <formula1>abop</formula1>
    </dataValidation>
    <dataValidation type="list" allowBlank="1" showInputMessage="1" showErrorMessage="1" prompt=" - " sqref="B37:B40" xr:uid="{00000000-0002-0000-0000-000001000000}">
      <formula1>programa</formula1>
    </dataValidation>
    <dataValidation type="list" allowBlank="1" showInputMessage="1" showErrorMessage="1" prompt=" - " sqref="E37:E40" xr:uid="{00000000-0002-0000-0000-000002000000}">
      <formula1>componentes</formula1>
    </dataValidation>
    <dataValidation type="list" allowBlank="1" showInputMessage="1" showErrorMessage="1" prompt=" - " sqref="K32:K33" xr:uid="{00000000-0002-0000-0000-000003000000}">
      <formula1>req</formula1>
    </dataValidation>
  </dataValidations>
  <pageMargins left="0.7" right="0.7" top="0.75" bottom="0.75" header="0" footer="0"/>
  <pageSetup orientation="landscape"/>
  <headerFooter>
    <oddFooter>&amp;LFormato de PROGRAMA-ASIGNATURA de pregrado&amp;RPágina &amp;P de</oddFooter>
  </headerFooter>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17</vt:i4>
      </vt:variant>
    </vt:vector>
  </HeadingPairs>
  <TitlesOfParts>
    <vt:vector size="18" baseType="lpstr">
      <vt:lpstr>Formato Asignatura Pregrado</vt:lpstr>
      <vt:lpstr>abop</vt:lpstr>
      <vt:lpstr>año</vt:lpstr>
      <vt:lpstr>componentes</vt:lpstr>
      <vt:lpstr>DIA</vt:lpstr>
      <vt:lpstr>dias</vt:lpstr>
      <vt:lpstr>fac_bo</vt:lpstr>
      <vt:lpstr>fac_ma</vt:lpstr>
      <vt:lpstr>fac_me</vt:lpstr>
      <vt:lpstr>fac_pa</vt:lpstr>
      <vt:lpstr>mes</vt:lpstr>
      <vt:lpstr>NS</vt:lpstr>
      <vt:lpstr>programa</vt:lpstr>
      <vt:lpstr>req</vt:lpstr>
      <vt:lpstr>SEDES</vt:lpstr>
      <vt:lpstr>unid_bo</vt:lpstr>
      <vt:lpstr>unid_ma</vt:lpstr>
      <vt:lpstr>'Formato Asignatura Pregrado'!Z_4661FE06_EA67_45E7_A7C9_E76C84D0CD8A_.wvu.PrintTitles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Juan David Velasquez</cp:lastModifiedBy>
  <cp:lastPrinted>2011-09-08T18:27:32Z</cp:lastPrinted>
  <dcterms:created xsi:type="dcterms:W3CDTF">2011-02-25T22:50:37Z</dcterms:created>
  <dcterms:modified xsi:type="dcterms:W3CDTF">2026-09-24T22:51:13Z</dcterms:modified>
</cp:coreProperties>
</file>