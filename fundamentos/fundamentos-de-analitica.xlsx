
<file path=[Content_Types].xml><?xml version="1.0" encoding="utf-8"?>
<Types xmlns="http://schemas.openxmlformats.org/package/2006/content-types">
  <Default Extension="jp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Volumes/GitHub/classroom-solutions/fundamentos/"/>
    </mc:Choice>
  </mc:AlternateContent>
  <xr:revisionPtr revIDLastSave="0" documentId="13_ncr:1_{CCC76B23-82C6-6B45-9D23-BB83844773A8}" xr6:coauthVersionLast="47" xr6:coauthVersionMax="47" xr10:uidLastSave="{00000000-0000-0000-0000-000000000000}"/>
  <bookViews>
    <workbookView xWindow="32460" yWindow="600" windowWidth="29400" windowHeight="29980" xr2:uid="{00000000-000D-0000-FFFF-FFFF00000000}"/>
  </bookViews>
  <sheets>
    <sheet name="Formato Asignatura Pregrado" sheetId="1" r:id="rId1"/>
  </sheets>
  <definedNames>
    <definedName name="abop">'Formato Asignatura Pregrado'!$W$2:$W$3</definedName>
    <definedName name="administración">#REF!</definedName>
    <definedName name="año">'Formato Asignatura Pregrado'!$V$32</definedName>
    <definedName name="arquitectura">#REF!</definedName>
    <definedName name="artes">#REF!</definedName>
    <definedName name="bogota">#REF!</definedName>
    <definedName name="ciencias">#REF!</definedName>
    <definedName name="cienciasagropecuarias">#REF!</definedName>
    <definedName name="cienciasagropecuariaspal">#REF!</definedName>
    <definedName name="cienciaseconómicas">#REF!</definedName>
    <definedName name="cienciasexactas">#REF!</definedName>
    <definedName name="cienciashumanas">#REF!</definedName>
    <definedName name="cienciashumanasyeconómicas">#REF!</definedName>
    <definedName name="cienciasmed">#REF!</definedName>
    <definedName name="componentes">'Formato Asignatura Pregrado'!$V$2:$V$3</definedName>
    <definedName name="derecho">#REF!</definedName>
    <definedName name="DIA">'Formato Asignatura Pregrado'!$T$32:$T$51</definedName>
    <definedName name="dias">'Formato Asignatura Pregrado'!$T$32:$T$51</definedName>
    <definedName name="enfermería">#REF!</definedName>
    <definedName name="fac_bo">'Formato Asignatura Pregrado'!$T$2:$T$15</definedName>
    <definedName name="fac_ma">'Formato Asignatura Pregrado'!$T$16:$T$18</definedName>
    <definedName name="fac_me">'Formato Asignatura Pregrado'!$T$19:$T$23</definedName>
    <definedName name="fac_pa">'Formato Asignatura Pregrado'!$T$24:$T$25</definedName>
    <definedName name="ingeniería">#REF!</definedName>
    <definedName name="Ingeniería_Agronómica">#REF!</definedName>
    <definedName name="ingenieríaagronómica">#REF!</definedName>
    <definedName name="ingenierìaarquitectura">#REF!</definedName>
    <definedName name="ingenieríayadministración">#REF!</definedName>
    <definedName name="manizales">#REF!</definedName>
    <definedName name="medellin">#REF!</definedName>
    <definedName name="medicina">#REF!</definedName>
    <definedName name="mes">'Formato Asignatura Pregrado'!$U$32:$U$37</definedName>
    <definedName name="minas">#REF!</definedName>
    <definedName name="NS">'Formato Asignatura Pregrado'!$T$26</definedName>
    <definedName name="odontología">#REF!</definedName>
    <definedName name="palmira">#REF!</definedName>
    <definedName name="programa">'Formato Asignatura Pregrado'!$P$3:$P$68</definedName>
    <definedName name="req">'Formato Asignatura Pregrado'!$U$54:$U$55</definedName>
    <definedName name="sede">#REF!</definedName>
    <definedName name="SEDES">'Formato Asignatura Pregrado'!$S$2:$S$13</definedName>
    <definedName name="unid_bo">'Formato Asignatura Pregrado'!$Y$1:$Y$64</definedName>
    <definedName name="unid_ma">'Formato Asignatura Pregrado'!$Y$65:$Y$68</definedName>
    <definedName name="unid_me">'Formato Asignatura Pregrado'!#REF!</definedName>
    <definedName name="veterinaria">#REF!</definedName>
    <definedName name="Z_4661FE06_EA67_45E7_A7C9_E76C84D0CD8A_.wvu.PrintTitles" localSheetId="0">'Formato Asignatura Pregrado'!$A$1:$IV$3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0" i="1" l="1"/>
  <c r="A39" i="1"/>
  <c r="A38" i="1"/>
  <c r="G28" i="1"/>
  <c r="L28" i="1" s="1"/>
  <c r="C25" i="1"/>
  <c r="E25" i="1" s="1"/>
  <c r="F25"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H22" authorId="0" shapeId="0" xr:uid="{00000000-0006-0000-0000-00000C000000}">
      <text>
        <r>
          <rPr>
            <sz val="10"/>
            <color rgb="FF000000"/>
            <rFont val="Calibri"/>
            <family val="2"/>
            <scheme val="minor"/>
          </rPr>
          <t>Vicerrectoria:
Una asignatura es validable si puede ser evaluada mediante un examen o prueba de suficiencia sin necesidad de que el estudiante asista al curso regular.</t>
        </r>
      </text>
    </comment>
    <comment ref="A24" authorId="0" shapeId="0" xr:uid="{00000000-0006-0000-0000-000003000000}">
      <text>
        <r>
          <rPr>
            <sz val="10"/>
            <color rgb="FF000000"/>
            <rFont val="Calibri"/>
            <family val="2"/>
            <scheme val="minor"/>
          </rPr>
          <t xml:space="preserve">Vicerrectoría: 
Horas de Actividad Presencial a la semana o intensidad horaria. Actividad presencial es la que se desarrolla dentro o fuera de las aulas en contacto y con dirección del profesor </t>
        </r>
      </text>
    </comment>
    <comment ref="B24" authorId="0" shapeId="0" xr:uid="{00000000-0006-0000-0000-000004000000}">
      <text>
        <r>
          <rPr>
            <sz val="10"/>
            <color rgb="FF000000"/>
            <rFont val="Calibri"/>
            <family val="2"/>
            <scheme val="minor"/>
          </rPr>
          <t>Vicerrectoría: 
Horas de Actividad autónoma o Independiente a la semana. Actividad Independiente es la realizada autónomamente por el estudiante.</t>
        </r>
      </text>
    </comment>
    <comment ref="C24" authorId="0" shapeId="0" xr:uid="{00000000-0006-0000-0000-000005000000}">
      <text>
        <r>
          <rPr>
            <sz val="10"/>
            <color rgb="FF000000"/>
            <rFont val="Calibri"/>
            <family val="2"/>
            <scheme val="minor"/>
          </rPr>
          <t>Vicerrectoría: 
Total de horas de actividad presencial e independiente que emplea el estudiante para cumplir con una asignatura a la semana. Es calculado por el sistema.</t>
        </r>
      </text>
    </comment>
    <comment ref="D24" authorId="0" shapeId="0" xr:uid="{00000000-0006-0000-0000-000007000000}">
      <text>
        <r>
          <rPr>
            <sz val="10"/>
            <color rgb="FF000000"/>
            <rFont val="Calibri"/>
            <family val="2"/>
            <scheme val="minor"/>
          </rPr>
          <t>Vicerrectoría:
Número de semanas por periodo académico. En ningún caso el número de semanas podrá ser inferior a 16, ni superior a 25</t>
        </r>
      </text>
    </comment>
    <comment ref="E24" authorId="0" shapeId="0" xr:uid="{00000000-0006-0000-0000-000009000000}">
      <text>
        <r>
          <rPr>
            <sz val="10"/>
            <color rgb="FF000000"/>
            <rFont val="Calibri"/>
            <family val="2"/>
            <scheme val="minor"/>
          </rPr>
          <t>Vicerrectoría: 
Total de Horas por Periodo académico. Este cálculo lo realiza automáticamente el sistema.</t>
        </r>
      </text>
    </comment>
    <comment ref="F24" authorId="0" shapeId="0" xr:uid="{00000000-0006-0000-0000-00000A000000}">
      <text>
        <r>
          <rPr>
            <sz val="10"/>
            <color rgb="FF000000"/>
            <rFont val="Calibri"/>
            <family val="2"/>
            <scheme val="minor"/>
          </rPr>
          <t xml:space="preserve">Vicerrectoría: Cada crédito requiere 48 horas de trabajo del estudiante. Un crédito académico es la unidad que mide el tiempo que el estudiante requiere para cumplir los objetivos de formación de cada asignatura. Incluye el tiempo de la actividad presencial y la independiente. </t>
        </r>
      </text>
    </comment>
    <comment ref="A28" authorId="0" shapeId="0" xr:uid="{00000000-0006-0000-0000-000002000000}">
      <text>
        <r>
          <rPr>
            <sz val="10"/>
            <color rgb="FF000000"/>
            <rFont val="Calibri"/>
            <family val="2"/>
            <scheme val="minor"/>
          </rPr>
          <t>Vicerrectoría:
Porcentaje mínimo de horas que el estudiante está obligado a asistir a un curso durante el periodo académico.</t>
        </r>
      </text>
    </comment>
    <comment ref="G28" authorId="0" shapeId="0" xr:uid="{00000000-0006-0000-0000-000006000000}">
      <text>
        <r>
          <rPr>
            <sz val="10"/>
            <color rgb="FF000000"/>
            <rFont val="Calibri"/>
            <family val="2"/>
            <scheme val="minor"/>
          </rPr>
          <t>Vicerrectoría: 
El sistema calcula automáticamente el número de horas presenciales por período académico, a partir de la información del punto 2.</t>
        </r>
      </text>
    </comment>
    <comment ref="L28" authorId="0" shapeId="0" xr:uid="{00000000-0006-0000-0000-00000B000000}">
      <text>
        <r>
          <rPr>
            <sz val="10"/>
            <color rgb="FF000000"/>
            <rFont val="Calibri"/>
            <family val="2"/>
            <scheme val="minor"/>
          </rPr>
          <t>Vicerrectoría: 
El sistema calcula el número mínimo de horas presenciales que el estudiante debe cumplir. Si el estudiante asiste menos tiempo, su calificación será 0.0</t>
        </r>
      </text>
    </comment>
    <comment ref="A30" authorId="0" shapeId="0" xr:uid="{00000000-0006-0000-0000-000001000000}">
      <text>
        <r>
          <rPr>
            <sz val="10"/>
            <color rgb="FF000000"/>
            <rFont val="Calibri"/>
            <family val="2"/>
            <scheme val="minor"/>
          </rPr>
          <t>Vicerrectoría: 
Liste por separado cada una de las asignaturas prerrequisito  o correquisito</t>
        </r>
      </text>
    </comment>
    <comment ref="K31" authorId="0" shapeId="0" xr:uid="{00000000-0006-0000-0000-000008000000}">
      <text>
        <r>
          <rPr>
            <sz val="10"/>
            <color rgb="FF000000"/>
            <rFont val="Calibri"/>
            <family val="2"/>
            <scheme val="minor"/>
          </rPr>
          <t>Vicerrectoría: 
Prerrequisito es una condición previa  que el estudiante debe cumplir para inscribir la asignatura. 
Correquisito es un requerimiento simultáneo que se verifica para un mismo periodo académico.</t>
        </r>
      </text>
    </comment>
    <comment ref="A42" authorId="0" shapeId="0" xr:uid="{00000000-0006-0000-0000-00000E000000}">
      <text>
        <r>
          <rPr>
            <sz val="10"/>
            <color rgb="FF000000"/>
            <rFont val="Calibri"/>
            <family val="2"/>
            <scheme val="minor"/>
          </rPr>
          <t>Vicerrectoría:
El grupo de asignaturas electivas, exclusivo de los pregrados, comprende aquellas asignaturas que se ofrecen para cualquier estudiante de pregrado, y se inscriben con créditos del componente de libre elección. También comprende las asignaturas que conforman líneas de profundización, los contextos y las cátedras que se ofrecen para cualquier estudiante de la Universidad y se caracterizan por no tener prerrequisitos.</t>
        </r>
      </text>
    </comment>
    <comment ref="A46" authorId="0" shapeId="0" xr:uid="{00000000-0006-0000-0000-00000D000000}">
      <text>
        <r>
          <rPr>
            <sz val="10"/>
            <color rgb="FF000000"/>
            <rFont val="Calibri"/>
            <family val="2"/>
            <scheme val="minor"/>
          </rPr>
          <t>Vicerrectoría: 
Sintetice los objetivos de formación, los contenidos fundamentales de la asignatura y los conocimientos previos requeridos a los estudiantes. Utilice máximo 150 palabras. Tenga en cuenta que esta es la información que va a aparecer en los certificados expedidos por la universidad.</t>
        </r>
      </text>
    </comment>
  </commentList>
</comments>
</file>

<file path=xl/sharedStrings.xml><?xml version="1.0" encoding="utf-8"?>
<sst xmlns="http://schemas.openxmlformats.org/spreadsheetml/2006/main" count="372" uniqueCount="289">
  <si>
    <t>Código SIA</t>
  </si>
  <si>
    <t>PROGRAMA CURRICULAR</t>
  </si>
  <si>
    <t>SEDE</t>
  </si>
  <si>
    <t>FACULTAD</t>
  </si>
  <si>
    <t>COMPONENTE</t>
  </si>
  <si>
    <t>OB OP</t>
  </si>
  <si>
    <t xml:space="preserve">AGRONOMÍA           </t>
  </si>
  <si>
    <t xml:space="preserve">DEPARTAMENTO DE AGRONOMIA                       </t>
  </si>
  <si>
    <t>VICERRECTORÍA ACADÉMICA</t>
  </si>
  <si>
    <t>Agronomía - Bogotá</t>
  </si>
  <si>
    <t>Bogotá</t>
  </si>
  <si>
    <t>Fundamentación</t>
  </si>
  <si>
    <t>Obligatoria</t>
  </si>
  <si>
    <t xml:space="preserve">ESCUELA DE POSGRADOS AGRONOMIA                       </t>
  </si>
  <si>
    <t>DIRECCIÓN NACIONAL DE PROGRAMAS DE PREGRADO</t>
  </si>
  <si>
    <t>Administración de Empresas -Bogotá</t>
  </si>
  <si>
    <t>Amazonia </t>
  </si>
  <si>
    <t>Artes - Bogotá</t>
  </si>
  <si>
    <t>Disciplinar</t>
  </si>
  <si>
    <t>Optativa</t>
  </si>
  <si>
    <t xml:space="preserve">ARTES </t>
  </si>
  <si>
    <t xml:space="preserve">CONSERVATORIO DE MUSICA </t>
  </si>
  <si>
    <t xml:space="preserve">FORMATO DE PROGRAMA - ASIGNATURA DE PREGRADO                                                                        </t>
  </si>
  <si>
    <t>Antropología -Bogotá</t>
  </si>
  <si>
    <t>Bogotá </t>
  </si>
  <si>
    <t>Ciencias - Bogotá</t>
  </si>
  <si>
    <t xml:space="preserve">ESCUELA DE ARQUITECTURA Y URBANISMO             </t>
  </si>
  <si>
    <t>Arquitectura -Bogotá</t>
  </si>
  <si>
    <t>Caribe </t>
  </si>
  <si>
    <t>Ciencias económicas - Bogotá</t>
  </si>
  <si>
    <t xml:space="preserve">ESCUELA DE ARTES PLASTICAS Y VISUALES                   </t>
  </si>
  <si>
    <t xml:space="preserve">Estimado profesor: tenga presente que este formato aprobado por el Consejo de Facultad constituye el programa-asignatura y es un documento oficial de la Universidad. La información que introduzca se publicará en el portal UNAL-SIA para información de los estudiantes y la comunidad académica en general. Le recomendamos atentamente diligenciar el formato con el mayor esmero posible.Para su diligenciamiento encontrará orientaciones en las casillas que muestran un triángulo rojo en su esquina superior derecha. </t>
  </si>
  <si>
    <t>Artes Plásticas -Bogotá</t>
  </si>
  <si>
    <t>Manizales </t>
  </si>
  <si>
    <t>Ciencias humanas - Bogotá</t>
  </si>
  <si>
    <t xml:space="preserve">ESCUELA DE CINE Y TELEVISION </t>
  </si>
  <si>
    <t>Por favor diligencie únicamente las celdas en azul claro.  Escriba el nombre completo de la asignatura usando mayúscula solamente al inicio.  No lo escriba todo en mayúsculas.</t>
  </si>
  <si>
    <t>Día</t>
  </si>
  <si>
    <t>Mes</t>
  </si>
  <si>
    <t>Año</t>
  </si>
  <si>
    <t>Biología  -Bogotá</t>
  </si>
  <si>
    <t>Medellín </t>
  </si>
  <si>
    <t>Derecho, ciencias políticas y sociales - Bogotá</t>
  </si>
  <si>
    <t xml:space="preserve">ESCUELA DE DISENO GRAFICO </t>
  </si>
  <si>
    <t>FECHA DE DILIGENCIAMIENTO:</t>
  </si>
  <si>
    <t>Ciencia Política -Bogotá</t>
  </si>
  <si>
    <t>Orinoquia </t>
  </si>
  <si>
    <t>Enfermería - Bogotá</t>
  </si>
  <si>
    <t xml:space="preserve">ESCUELA DE DISENO INDUSTRIAL                 </t>
  </si>
  <si>
    <t xml:space="preserve">PARA CREACIÓN DE UNA ASIGNATURA   </t>
  </si>
  <si>
    <t>Contaduría Pública -Bogotá</t>
  </si>
  <si>
    <t>Medicina - Bogotá</t>
  </si>
  <si>
    <t>INSTITUTO DE ESTUDIOS URBANOS</t>
  </si>
  <si>
    <t xml:space="preserve">1. IDENTIFICACIÓN DE LA ASIGNATURA </t>
  </si>
  <si>
    <t>Diseño Gráfico  -Bogotá</t>
  </si>
  <si>
    <t>Odontologia - Bogotá</t>
  </si>
  <si>
    <t xml:space="preserve">CIENCIAS </t>
  </si>
  <si>
    <t xml:space="preserve">DEPARTAMENTO DE BIOLOGIA                     </t>
  </si>
  <si>
    <t>1.1. CÓDIGO DE LA ASIGNATURA</t>
  </si>
  <si>
    <t>Diseño Industrial  -Bogotá</t>
  </si>
  <si>
    <t>Administración - Manizales</t>
  </si>
  <si>
    <t>Manizales</t>
  </si>
  <si>
    <t xml:space="preserve">DEPARTAMENTO DE ESTADISTICA            </t>
  </si>
  <si>
    <t>1.2. NOMBRE DE LA ASIGNATURA</t>
  </si>
  <si>
    <t>Economía -Bogotá</t>
  </si>
  <si>
    <t>Ciencias exactas y naturales - Manizales</t>
  </si>
  <si>
    <t xml:space="preserve">DEPARTAMENTO DE FARMACIA </t>
  </si>
  <si>
    <t>1.3. SEDE</t>
  </si>
  <si>
    <t>Medellín</t>
  </si>
  <si>
    <t>Enfermería -Bogotá</t>
  </si>
  <si>
    <t>Ingeniería y arquitectura - Manizales</t>
  </si>
  <si>
    <t xml:space="preserve">DEPARTAMENTO DE FISICA                                  </t>
  </si>
  <si>
    <t>1.4. FACULTAD</t>
  </si>
  <si>
    <t>Minas</t>
  </si>
  <si>
    <t>Español y Filología Clásica -Bogotá</t>
  </si>
  <si>
    <t>Arquitectura - Medellín</t>
  </si>
  <si>
    <t xml:space="preserve">DEPARTAMENTO DE GEOCIENCIAS                     </t>
  </si>
  <si>
    <t>1.5. UNIDAD QUE OFRECE LA ASIGNATURA</t>
  </si>
  <si>
    <t>Departamento de Ciencias de la Computación y la Decisión</t>
  </si>
  <si>
    <t>Estadística -Bogotá</t>
  </si>
  <si>
    <t>Cencias - Medellín</t>
  </si>
  <si>
    <t xml:space="preserve">DEPARTAMENTO DE MATEMATICAS                           </t>
  </si>
  <si>
    <t>Estudios Literarios -Bogotá</t>
  </si>
  <si>
    <t>Ciencias agropecuarias - Medellín</t>
  </si>
  <si>
    <t xml:space="preserve">DEPARTAMENTO DE QUIMICA                  </t>
  </si>
  <si>
    <r>
      <rPr>
        <b/>
        <sz val="11"/>
        <rFont val="Calibri"/>
        <family val="2"/>
      </rPr>
      <t>2</t>
    </r>
    <r>
      <rPr>
        <sz val="11"/>
        <rFont val="Calibri"/>
        <family val="2"/>
      </rPr>
      <t xml:space="preserve">. </t>
    </r>
    <r>
      <rPr>
        <b/>
        <sz val="11"/>
        <rFont val="Calibri"/>
        <family val="2"/>
      </rPr>
      <t xml:space="preserve">DURACIÓN </t>
    </r>
  </si>
  <si>
    <t>3. VALIDABLE</t>
  </si>
  <si>
    <t>Farmacia -Bogotá</t>
  </si>
  <si>
    <t>Ciencias humanas y económicas - Medellín</t>
  </si>
  <si>
    <t xml:space="preserve">INSTITUTO DE BIOTECNOLOGIA                        </t>
  </si>
  <si>
    <t>A LA SEMANA</t>
  </si>
  <si>
    <t xml:space="preserve">AL SEMESTRE </t>
  </si>
  <si>
    <t>CRÉDITOS</t>
  </si>
  <si>
    <t>Asignatura validable</t>
  </si>
  <si>
    <t>Filología e Idiomas - Alemán -Bogotá</t>
  </si>
  <si>
    <t>Minas - Medellín</t>
  </si>
  <si>
    <t>INSTITUTO DE CIENCIA Y TECNOLOGIA DE ALIMENTOS</t>
  </si>
  <si>
    <t>HAP</t>
  </si>
  <si>
    <t>HAI</t>
  </si>
  <si>
    <t>THS= HAP +HAI</t>
  </si>
  <si>
    <t>No.  de semanas</t>
  </si>
  <si>
    <t>THP= THSxSemanas</t>
  </si>
  <si>
    <t>No. de Créditos</t>
  </si>
  <si>
    <t>Filología e Idiomas - Francés -Bogotá</t>
  </si>
  <si>
    <t>Ciencias agropecuarias - Palmira</t>
  </si>
  <si>
    <t>Palmira</t>
  </si>
  <si>
    <t xml:space="preserve">INSTITUTO DE CIENCIAS NATURALES                                  </t>
  </si>
  <si>
    <t>Asignatura NO validable</t>
  </si>
  <si>
    <t>Filología e Idiomas - Inglés -Bogotá</t>
  </si>
  <si>
    <t>Ingeniería y administración - Palmira</t>
  </si>
  <si>
    <t xml:space="preserve">OBSERVATORIO ASTRONOMICO                      </t>
  </si>
  <si>
    <t>Filología e Idiomas - Humanid Clásicas - Español -Bogotá</t>
  </si>
  <si>
    <t xml:space="preserve">CIENCIAS ECONÓMICAS </t>
  </si>
  <si>
    <t>ESCUELA DE ADMINISTRACION Y CONTADURIA PUBLICA</t>
  </si>
  <si>
    <t xml:space="preserve">4. PORCENTAJE DE ASISTENCIA  </t>
  </si>
  <si>
    <t>Filosofía -Bogotá</t>
  </si>
  <si>
    <t xml:space="preserve">ESCUELA DE ECONOMIA                       </t>
  </si>
  <si>
    <t>%</t>
  </si>
  <si>
    <t>Total de horas presenciales al semestre= HAP x Semanas</t>
  </si>
  <si>
    <t>Mínimo de horas presenciales</t>
  </si>
  <si>
    <t>Física -Bogotá</t>
  </si>
  <si>
    <t xml:space="preserve">INSTITUTO DE ESTUDIOS AMBIENTALES                     </t>
  </si>
  <si>
    <t>Fisioterapia -Bogotá</t>
  </si>
  <si>
    <t xml:space="preserve">CIENCIAS HUMANAS </t>
  </si>
  <si>
    <t xml:space="preserve">CENTRO DE ESTUDIOS SOCIALES </t>
  </si>
  <si>
    <r>
      <rPr>
        <b/>
        <sz val="11"/>
        <rFont val="Calibri"/>
        <family val="2"/>
      </rPr>
      <t xml:space="preserve">5. REQUISITOS DE LA ASIGNATURA   </t>
    </r>
    <r>
      <rPr>
        <b/>
        <sz val="11"/>
        <color rgb="FF0000FF"/>
        <rFont val="Calibri"/>
        <family val="2"/>
      </rPr>
      <t xml:space="preserve"> </t>
    </r>
  </si>
  <si>
    <t>Fonoaudiología -Bogotá</t>
  </si>
  <si>
    <t xml:space="preserve">DEPARTAMENTO DE ANTROPOLOGIA              </t>
  </si>
  <si>
    <t>CÓDIGO</t>
  </si>
  <si>
    <t>NOMBRE DE LA ASIGNATURA</t>
  </si>
  <si>
    <t>TIPO DE REQUISITO</t>
  </si>
  <si>
    <t>Geografía -Bogotá</t>
  </si>
  <si>
    <t>DIA</t>
  </si>
  <si>
    <t>MES</t>
  </si>
  <si>
    <t>AÑO</t>
  </si>
  <si>
    <t xml:space="preserve">DEPARTAMENTO DE FILOSOFIA </t>
  </si>
  <si>
    <t>Geología -Bogotá</t>
  </si>
  <si>
    <t>enero</t>
  </si>
  <si>
    <t xml:space="preserve">DEPARTAMENTO DE GEOGRAFIA       </t>
  </si>
  <si>
    <t>Ingeniería de Sistemas  -Bogotá</t>
  </si>
  <si>
    <t>junio</t>
  </si>
  <si>
    <t xml:space="preserve">DEPARTAMENTO DE SICOLOGIA </t>
  </si>
  <si>
    <t>Ingeniería Eléctrica  -Bogotá</t>
  </si>
  <si>
    <t>julio</t>
  </si>
  <si>
    <t xml:space="preserve">DEPARTAMENTO DE SOCIOLOGIA </t>
  </si>
  <si>
    <t>6. PLANES DE ESTUDIO A LOS QUE SE ASOCIA LA ASIGNATURA (Si la asignatura es de LIBRE ELECCIÓN pase al punto 7)</t>
  </si>
  <si>
    <t>Ingenieria Electrónica  -Bogotá</t>
  </si>
  <si>
    <t>agosto</t>
  </si>
  <si>
    <t xml:space="preserve">DEPARTAMENTO DE TRABAJO SOCIAL </t>
  </si>
  <si>
    <t xml:space="preserve">CÓDIGO </t>
  </si>
  <si>
    <t>NOMBRE DEL PLAN DE ESTUDIOS</t>
  </si>
  <si>
    <t>AGRUPACIÓN</t>
  </si>
  <si>
    <t>OBLIGATORIA / OPTATIVA</t>
  </si>
  <si>
    <t>Ingeniería Industrial  -Bogotá</t>
  </si>
  <si>
    <t>septiembre</t>
  </si>
  <si>
    <t xml:space="preserve">ESCUELA DE ESTUDIOS DE GENERO        </t>
  </si>
  <si>
    <t>Ingeniería Mecatrónica  -Bogotá</t>
  </si>
  <si>
    <t>noviembre</t>
  </si>
  <si>
    <t xml:space="preserve">INSTITUTO DE ESTUDIOS EN COMUNICACIONES                </t>
  </si>
  <si>
    <t>Música Instrumental -Bogotá</t>
  </si>
  <si>
    <t xml:space="preserve">INSTITUTO DE ESTUDIOS POLITICOS Y RELACIONES INTERNACIONALES        </t>
  </si>
  <si>
    <t>Nutrición y Dietética -Bogotá</t>
  </si>
  <si>
    <t xml:space="preserve">ENFERMERÍA </t>
  </si>
  <si>
    <t xml:space="preserve">DEPARTAMENTO DE CUIDADO Y PRACTICA DE ENFERMERIA </t>
  </si>
  <si>
    <t>Odontología -Bogotá</t>
  </si>
  <si>
    <t xml:space="preserve">DEPARTAMENTO DE SALUD DE COLECTIVOS </t>
  </si>
  <si>
    <t>Psicología -Bogotá</t>
  </si>
  <si>
    <t xml:space="preserve">INGENIERÍA </t>
  </si>
  <si>
    <t xml:space="preserve">DEPARTAMENTO DE INGENIERIA CIVIL Y AGRICOLA </t>
  </si>
  <si>
    <t xml:space="preserve">7. ASIGNATURA DE LIBRE ELECCIÓN </t>
  </si>
  <si>
    <t xml:space="preserve"> Si</t>
  </si>
  <si>
    <t xml:space="preserve"> No</t>
  </si>
  <si>
    <t>Química  -Bogotá</t>
  </si>
  <si>
    <t>DEPARTAMENTO DE INGENIERIA DE SISTEMAS E INDUSTRIAL</t>
  </si>
  <si>
    <t>Sociología -Bogotá</t>
  </si>
  <si>
    <t>DEPARTAMENTO DE INGENIERIA ELECTRICA Y ELECTRONICA</t>
  </si>
  <si>
    <t>PROGRAMA DE LA ASIGNATURA</t>
  </si>
  <si>
    <t>Terapia Ocupacional -Bogotá</t>
  </si>
  <si>
    <t xml:space="preserve">DEPARTAMENTO DE INGENIERIA MECANICA Y MECATRONICA </t>
  </si>
  <si>
    <t>Trabajo Social  -Bogotá</t>
  </si>
  <si>
    <t xml:space="preserve">DEPARTAMENTO DE INGENIERIA QUIMICA                             </t>
  </si>
  <si>
    <t>8. DESCRIPCIÓN DE LA ASIGNATURA</t>
  </si>
  <si>
    <t>Zootecnia  -Bogotá</t>
  </si>
  <si>
    <t>MEDICINA</t>
  </si>
  <si>
    <t>CENTRO DE TELEMEDICINA</t>
  </si>
  <si>
    <t>Administración de Empresas (Diurno) -Manizales</t>
  </si>
  <si>
    <t xml:space="preserve">DEPARTAMENTO DE CIENCIAS FISIOLOGICAS </t>
  </si>
  <si>
    <t>Administración de Empresas (Nocturno) -Manizales</t>
  </si>
  <si>
    <t xml:space="preserve">DEPARTAMENTO DE CIRUGIA </t>
  </si>
  <si>
    <t>Admón de Sistemas Informáticos -Manizales</t>
  </si>
  <si>
    <t xml:space="preserve">DEPARTAMENTO DE COMUNICACION HUMANA Y SUS DESORDENES </t>
  </si>
  <si>
    <t>Arquitectura  -Manizales</t>
  </si>
  <si>
    <t xml:space="preserve">DEPARTAMENTO DE IMAGENES DIAGNOSTICAS </t>
  </si>
  <si>
    <t>Construcción -Manizales</t>
  </si>
  <si>
    <t xml:space="preserve">DEPARTAMENTO DE LA OCUPACION HUMANA Y SUS DESORDENES </t>
  </si>
  <si>
    <t>Gestión cultural y comunicativa -Manizales</t>
  </si>
  <si>
    <t xml:space="preserve">DEPARTAMENTO DE MEDICINA                                 </t>
  </si>
  <si>
    <t>Ingeniería Civil -Manizales</t>
  </si>
  <si>
    <t xml:space="preserve">DEPARTAMENTO DE MEDICINA FISICA Y REHABILITACION        </t>
  </si>
  <si>
    <t>Ingeniería Eléctrica  -Manizales</t>
  </si>
  <si>
    <t>Prerrequisito</t>
  </si>
  <si>
    <t xml:space="preserve">DEPARTAMENTO DE MEDICINA INTERNA                                           </t>
  </si>
  <si>
    <t>9. CONTENIDO</t>
  </si>
  <si>
    <t>Ingeniería Electrónica -Manizales</t>
  </si>
  <si>
    <t>Correquisito</t>
  </si>
  <si>
    <t xml:space="preserve">DEPARTAMENTO DE MICROBIOLOGIA                 </t>
  </si>
  <si>
    <t>9.1. CONTENIDO BÁSICO</t>
  </si>
  <si>
    <t>9.2. CONTENIDO DETALLADO</t>
  </si>
  <si>
    <t>Ingeniería Física -Manizales</t>
  </si>
  <si>
    <t xml:space="preserve">DEPARTAMENTO DE MORFOLOGIA                            </t>
  </si>
  <si>
    <t>Índice a partir del cual se muestra, a través de los ítems principales, el contenido de la asignatura.</t>
  </si>
  <si>
    <t>Descripción del contenido de la asignatura especificando cada uno de los ítems del contenido básico.</t>
  </si>
  <si>
    <t>Ingeniería Industrial -Manizales</t>
  </si>
  <si>
    <t xml:space="preserve">DEPARTAMENTO DE MOVIMIENTO CORPORAL HUMANO Y SUS DESORDENES </t>
  </si>
  <si>
    <t>Ingeniería Química -Manizales</t>
  </si>
  <si>
    <t xml:space="preserve">DEPARTAMENTO DE NUTRICION </t>
  </si>
  <si>
    <t>Ciencia Política -Medellín</t>
  </si>
  <si>
    <t xml:space="preserve">DEPARTAMENTO DE PSIQUIATRIA </t>
  </si>
  <si>
    <t>Construcción -Medellín</t>
  </si>
  <si>
    <t xml:space="preserve">DEPARTAMENTO DE SALUD PUBLICA                               </t>
  </si>
  <si>
    <t>Ingeniería Administrativa -Medellín</t>
  </si>
  <si>
    <t xml:space="preserve">INSTITUTO DE INVESTIGACIONES CLINICAS               </t>
  </si>
  <si>
    <t>Ingeniería Agrícola  -Medellín</t>
  </si>
  <si>
    <t xml:space="preserve">INSTITUTO DE SALUD PUBLICA                             </t>
  </si>
  <si>
    <t>Ingeniería Civil -Medellín</t>
  </si>
  <si>
    <t xml:space="preserve">DEPARTAMENTO DE SALUD ORAL </t>
  </si>
  <si>
    <t>Ingeniería de Control -Medellín</t>
  </si>
  <si>
    <t>DEPARTAMENTO DE CIENCIAS BASICAS Y MEDICINA ORAL</t>
  </si>
  <si>
    <t>Ingeniería Eléctrica -Medellín</t>
  </si>
  <si>
    <t>FACULTAD DE CIENCIAS EXACTAS Y NATURALES</t>
  </si>
  <si>
    <t>DEPARTAMENTO DE FISICA Y QUIMICA</t>
  </si>
  <si>
    <t>Ingeniería Física -Medellín</t>
  </si>
  <si>
    <t>DEPARTAMENTO DE MATEMATICAS Y ESTADISTICA</t>
  </si>
  <si>
    <t>Ingeniería Mecánica  -Medellín</t>
  </si>
  <si>
    <t>DEPARTAMENTO DE INGENIERIA QUIMICA</t>
  </si>
  <si>
    <t>Ingeniería Química -Medellín</t>
  </si>
  <si>
    <t>ESCUELA DE ARQUITECTURA Y URBANISMO</t>
  </si>
  <si>
    <t>10. BIBLIOGRAFÍA BÁSICA</t>
  </si>
  <si>
    <t>AUTOR (ES)</t>
  </si>
  <si>
    <t>TÍTULO</t>
  </si>
  <si>
    <t>EDITORIAL - PAÍS</t>
  </si>
  <si>
    <t>11. NOMBRE DEL DIRECTOR DE ÁREA CURRICULAR</t>
  </si>
  <si>
    <t>12. APROBACIÓN DEL CONSEJO DE FACULTAD</t>
  </si>
  <si>
    <t>Fecha del Consejo (dia/mes/año)</t>
  </si>
  <si>
    <t>Acta Número</t>
  </si>
  <si>
    <t>Nota: cuando termine de diligenciar este formato, por favor grábelo con el nombre de la asignatura que propone (o modifica) seguido del nombre de la Unidad Académica que ofrece la asignatura.
Si tiene algún problema al diligenciar el formato, comuníquese con la Dirección Académica de su Sede.</t>
  </si>
  <si>
    <t xml:space="preserve">La Secretaría Académica debe remitir este formato completamente diligenciado a la Dirección Académica de la Sede respectiva vía correo electrónico para que se incluya en el sistema de información. </t>
  </si>
  <si>
    <t>Fundamentos de analitica</t>
  </si>
  <si>
    <t>X</t>
  </si>
  <si>
    <t>Fundamentos de Analítica introduce el ciclo analítico mediante casos prácticos autocontenidos: formulación de preguntas, obtención y transformación de datos, limpieza, anonimización, análisis con herramientas tabulares y consultas, y comunicación de resultados mediante visualizaciones. El curso presenta aplicaciones iniciales de inteligencia artificial para apoyar el análisis crítico, así como nociones básicas de regresión, clasificación, segmentación, series de tiempo, despliegue de modelos y análisis de decisiones en contextos reales. A través de talleres, el estudiante produce resultados verificables y desarrolla criterio para relacionar datos, métodos, evidencia y decisiones, reconociendo los límites, riesgos éticos y responsabilidades del uso de la analítica.</t>
  </si>
  <si>
    <t>Fundamentos computacionales para analítica</t>
  </si>
  <si>
    <t>Calidad, limpieza y protección de datos</t>
  </si>
  <si>
    <t>IA generativa como apoyo al análisis</t>
  </si>
  <si>
    <t>Modelos predictivos básicos</t>
  </si>
  <si>
    <t>Segmentación y reconocimiento de patrones</t>
  </si>
  <si>
    <t>Representación y transformación de datos</t>
  </si>
  <si>
    <t>Análisis de datos operativos</t>
  </si>
  <si>
    <t>Simulación de sistemas dinámicos</t>
  </si>
  <si>
    <t>Despliegue inicial de modelos</t>
  </si>
  <si>
    <t>Encuadre analítico de decisiones</t>
  </si>
  <si>
    <t>Analítica aplicada a decisiones</t>
  </si>
  <si>
    <t>Calidad y pruebas de soluciones analíticas</t>
  </si>
  <si>
    <t>Configuración y reproducibilidad</t>
  </si>
  <si>
    <t>Ejecución de programas, funciones y uso del editor como base de trabajo reproducible. Incluye el patrón MapReduce para procesar colecciones de datos.</t>
  </si>
  <si>
    <t>Lectura de archivos, registros y campos; conversión de datos CSV a JSON para preparar información para su uso analítico.</t>
  </si>
  <si>
    <t>Identificación y corrección de inconsistencias, normalización de valores, validación básica, anonimización y reducción del riesgo de reidentificación.</t>
  </si>
  <si>
    <t>Exploración de datos de conductores con pandas y SQLite. Agregaciones, filtros, cruces, resúmenes y resultados para apoyar una lectura inicial de la operación.</t>
  </si>
  <si>
    <t>Uso de herramientas generativas para apoyar el análisis de datos, con verificación de resultados, trazabilidad, privacidad y límites de las respuestas generadas.</t>
  </si>
  <si>
    <t>Regresión y clasificación sobre datos numéricos, con énfasis en la preparación de datos, entrenamiento, evaluación y lectura de resultados.</t>
  </si>
  <si>
    <t>Clustering aplicado a patrones de demanda. Construcción e interpretación de segmentos y discusión de sus límites.</t>
  </si>
  <si>
    <t>Modelos SIR básico y adaptativo para representar la evolución de una epidemia. Comparación de escenarios y efecto de parámetros sobre el comportamiento del sistema.</t>
  </si>
  <si>
    <t>Publicación de una capacidad predictiva mediante una aplicación web y una API. Relación entre modelo, entradas, respuesta y consumidor.</t>
  </si>
  <si>
    <t>Formulación de decisiones, objetivos, alternativas, restricciones y evidencia necesaria antes de seleccionar un método analítico.</t>
  </si>
  <si>
    <t>Casos de planeación de búsqueda y formulación de políticas a partir de evidencia, restricciones y escenarios. Incluye revisión de recomendaciones y supervisión humana.</t>
  </si>
  <si>
    <t>Pruebas unitarias con unittest y pytest; validación de datos, modelos y entradas de modelos para asegurar resultados verificables.</t>
  </si>
  <si>
    <t>Parametrización mediante línea de comandos y archivos de configuración para ejecutar soluciones de forma controlada y reproducible.</t>
  </si>
  <si>
    <t>Wes McKinney</t>
  </si>
  <si>
    <t>Python for Data Analysis: Data Wrangling with pandas, NumPy, and Jupyter (3.ª ed.)</t>
  </si>
  <si>
    <t>Jake VanderPlas</t>
  </si>
  <si>
    <t>Python Data Science Handbook: Essential Tools for Working with Data (2.ª ed.)</t>
  </si>
  <si>
    <t>O’Reilly Media, Estados Unidos</t>
  </si>
  <si>
    <t>Jiawei Han, Jian Pei y Hanghang Tong</t>
  </si>
  <si>
    <t>Data Mining: Concepts and Techniques (4.ª ed.)</t>
  </si>
  <si>
    <t>Morgan Kaufmann, Estados Unidos</t>
  </si>
  <si>
    <t>Aurélien Géron</t>
  </si>
  <si>
    <t>Hands-On Machine Learning with Scikit-Learn, Keras, and TensorFlow (3.ª ed.)</t>
  </si>
  <si>
    <t>Harry Percival</t>
  </si>
  <si>
    <t>Test-Driven Development with Python: Obey the Testing Goat (2.ª ed.)</t>
  </si>
  <si>
    <t>(3.ª ed.)O’Reilly Media, Estados Unidos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</si>
</sst>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0"/>
      <color rgb="FF000000"/>
      <name val="Calibri"/>
      <scheme val="minor"/>
    </font>
    <font>
      <sz val="10"/>
      <name val="Arial"/>
      <family val="2"/>
    </font>
    <font>
      <sz val="9"/>
      <name val="Arial"/>
      <family val="2"/>
    </font>
    <font>
      <sz val="9"/>
      <name val="Bookman Old Style"/>
      <family val="1"/>
    </font>
    <font>
      <b/>
      <sz val="9"/>
      <color rgb="FF7F7F7F"/>
      <name val="Calibri"/>
      <family val="2"/>
    </font>
    <font>
      <sz val="10"/>
      <name val="Calibri"/>
      <family val="2"/>
    </font>
    <font>
      <b/>
      <sz val="8"/>
      <name val="Arial"/>
      <family val="2"/>
    </font>
    <font>
      <b/>
      <sz val="14"/>
      <name val="Arial"/>
      <family val="2"/>
    </font>
    <font>
      <i/>
      <sz val="10"/>
      <name val="Calibri"/>
      <family val="2"/>
    </font>
    <font>
      <b/>
      <i/>
      <sz val="11"/>
      <color rgb="FF0000FF"/>
      <name val="Calibri"/>
      <family val="2"/>
    </font>
    <font>
      <sz val="10"/>
      <name val="Calibri"/>
      <family val="2"/>
    </font>
    <font>
      <b/>
      <sz val="10"/>
      <name val="Calibri"/>
      <family val="2"/>
    </font>
    <font>
      <b/>
      <sz val="11"/>
      <name val="Calibri"/>
      <family val="2"/>
    </font>
    <font>
      <i/>
      <sz val="11"/>
      <name val="Calibri"/>
      <family val="2"/>
    </font>
    <font>
      <sz val="11"/>
      <name val="Calibri"/>
      <family val="2"/>
    </font>
    <font>
      <sz val="16"/>
      <name val="Calibri"/>
      <family val="2"/>
    </font>
    <font>
      <b/>
      <sz val="9"/>
      <name val="Bookman Old Style"/>
      <family val="1"/>
    </font>
    <font>
      <sz val="10"/>
      <color rgb="FF0000FF"/>
      <name val="Calibri"/>
      <family val="2"/>
    </font>
    <font>
      <b/>
      <sz val="16"/>
      <name val="Calibri"/>
      <family val="2"/>
    </font>
    <font>
      <b/>
      <sz val="12"/>
      <name val="Calibri"/>
      <family val="2"/>
    </font>
    <font>
      <sz val="9"/>
      <name val="Century Gothic"/>
      <family val="1"/>
    </font>
    <font>
      <b/>
      <sz val="10"/>
      <color rgb="FF0000FF"/>
      <name val="Calibri"/>
      <family val="2"/>
    </font>
    <font>
      <b/>
      <i/>
      <sz val="10"/>
      <color rgb="FF0000FF"/>
      <name val="Calibri"/>
      <family val="2"/>
    </font>
    <font>
      <b/>
      <sz val="11"/>
      <color rgb="FF0000FF"/>
      <name val="Calibri"/>
      <family val="2"/>
    </font>
    <font>
      <sz val="16"/>
      <name val="Calibri"/>
      <family val="2"/>
    </font>
    <font>
      <b/>
      <sz val="11"/>
      <name val="Calibri"/>
      <family val="2"/>
    </font>
    <font>
      <sz val="11"/>
      <name val="Calibri"/>
      <family val="2"/>
    </font>
    <font>
      <sz val="10"/>
      <color rgb="FF000000"/>
      <name val="Calibri"/>
      <family val="2"/>
      <scheme val="minor"/>
    </font>
  </fonts>
  <fills count="4">
    <fill>
      <patternFill patternType="none"/>
    </fill>
    <fill>
      <patternFill patternType="gray125"/>
    </fill>
    <fill>
      <patternFill patternType="solid">
        <fgColor rgb="FFD8D8D8"/>
        <bgColor rgb="FFD8D8D8"/>
      </patternFill>
    </fill>
    <fill>
      <patternFill patternType="solid">
        <fgColor rgb="FFF2F2F2"/>
        <bgColor rgb="FFF2F2F2"/>
      </patternFill>
    </fill>
  </fills>
  <borders count="83">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medium">
        <color rgb="FF000000"/>
      </right>
      <top/>
      <bottom style="double">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bottom/>
      <diagonal/>
    </border>
    <border>
      <left/>
      <right/>
      <top/>
      <bottom/>
      <diagonal/>
    </border>
    <border>
      <left/>
      <right/>
      <top/>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style="medium">
        <color rgb="FF000000"/>
      </right>
      <top/>
      <bottom/>
      <diagonal/>
    </border>
    <border>
      <left style="thin">
        <color rgb="FF000000"/>
      </left>
      <right style="medium">
        <color rgb="FF000000"/>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style="medium">
        <color rgb="FF000000"/>
      </top>
      <bottom/>
      <diagonal/>
    </border>
    <border>
      <left/>
      <right style="medium">
        <color rgb="FF000000"/>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style="medium">
        <color rgb="FF000000"/>
      </right>
      <top style="thin">
        <color rgb="FF000000"/>
      </top>
      <bottom style="double">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right/>
      <top style="thin">
        <color rgb="FF000000"/>
      </top>
      <bottom/>
      <diagonal/>
    </border>
    <border>
      <left/>
      <right/>
      <top/>
      <bottom/>
      <diagonal/>
    </border>
    <border>
      <left style="thin">
        <color rgb="FF000000"/>
      </left>
      <right style="medium">
        <color rgb="FF000000"/>
      </right>
      <top style="thin">
        <color rgb="FF000000"/>
      </top>
      <bottom style="medium">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thin">
        <color rgb="FF000000"/>
      </left>
      <right/>
      <top style="thin">
        <color rgb="FF000000"/>
      </top>
      <bottom style="slantDashDot">
        <color rgb="FF000000"/>
      </bottom>
      <diagonal/>
    </border>
    <border>
      <left/>
      <right/>
      <top style="thin">
        <color rgb="FF000000"/>
      </top>
      <bottom style="slantDashDot">
        <color rgb="FF000000"/>
      </bottom>
      <diagonal/>
    </border>
    <border>
      <left/>
      <right style="medium">
        <color rgb="FF000000"/>
      </right>
      <top style="thin">
        <color rgb="FF000000"/>
      </top>
      <bottom style="slantDashDot">
        <color rgb="FF000000"/>
      </bottom>
      <diagonal/>
    </border>
  </borders>
  <cellStyleXfs count="1">
    <xf numFmtId="0" fontId="0" fillId="0" borderId="0"/>
  </cellStyleXfs>
  <cellXfs count="180">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5" xfId="0" applyFont="1" applyBorder="1" applyAlignment="1">
      <alignment vertical="center"/>
    </xf>
    <xf numFmtId="0" fontId="6" fillId="0" borderId="0" xfId="0" applyFont="1" applyAlignment="1">
      <alignment vertical="center" wrapText="1"/>
    </xf>
    <xf numFmtId="0" fontId="1" fillId="0" borderId="10" xfId="0" applyFont="1" applyBorder="1" applyAlignment="1">
      <alignment horizontal="center" vertical="center"/>
    </xf>
    <xf numFmtId="15" fontId="1" fillId="0" borderId="5" xfId="0" applyNumberFormat="1" applyFont="1" applyBorder="1" applyAlignment="1">
      <alignment horizontal="left" vertical="center"/>
    </xf>
    <xf numFmtId="0" fontId="1" fillId="0" borderId="11" xfId="0" applyFont="1" applyBorder="1" applyAlignment="1">
      <alignment horizontal="left" vertical="center"/>
    </xf>
    <xf numFmtId="0" fontId="1" fillId="0" borderId="5" xfId="0" applyFont="1" applyBorder="1" applyAlignment="1">
      <alignment horizontal="left" vertical="center"/>
    </xf>
    <xf numFmtId="0" fontId="9" fillId="0" borderId="25" xfId="0" applyFont="1" applyBorder="1" applyAlignment="1">
      <alignment horizontal="left" vertical="center" wrapText="1"/>
    </xf>
    <xf numFmtId="0" fontId="10" fillId="0" borderId="0" xfId="0" applyFont="1" applyAlignment="1">
      <alignment vertical="center"/>
    </xf>
    <xf numFmtId="0" fontId="10" fillId="0" borderId="0" xfId="0" applyFont="1" applyAlignment="1">
      <alignment vertical="center" wrapText="1"/>
    </xf>
    <xf numFmtId="0" fontId="10" fillId="0" borderId="26" xfId="0" applyFont="1" applyBorder="1" applyAlignment="1">
      <alignment horizontal="center" vertical="center" wrapText="1"/>
    </xf>
    <xf numFmtId="0" fontId="11" fillId="0" borderId="0" xfId="0" applyFont="1" applyAlignment="1">
      <alignment horizontal="center" vertical="center" wrapText="1"/>
    </xf>
    <xf numFmtId="1" fontId="10" fillId="0" borderId="28" xfId="0" applyNumberFormat="1" applyFont="1" applyBorder="1" applyAlignment="1">
      <alignment horizontal="center" vertical="center" wrapText="1"/>
    </xf>
    <xf numFmtId="1" fontId="10" fillId="0" borderId="25" xfId="0" applyNumberFormat="1" applyFont="1" applyBorder="1" applyAlignment="1">
      <alignment horizontal="center" vertical="center" wrapText="1"/>
    </xf>
    <xf numFmtId="0" fontId="11" fillId="0" borderId="32" xfId="0" applyFont="1" applyBorder="1" applyAlignment="1">
      <alignment horizontal="left" vertical="center"/>
    </xf>
    <xf numFmtId="0" fontId="11" fillId="0" borderId="32" xfId="0" applyFont="1" applyBorder="1" applyAlignment="1">
      <alignment horizontal="center" vertical="center"/>
    </xf>
    <xf numFmtId="0" fontId="3" fillId="0" borderId="5" xfId="0" applyFont="1" applyBorder="1" applyAlignment="1">
      <alignment horizontal="center" vertical="center" wrapText="1"/>
    </xf>
    <xf numFmtId="0" fontId="10" fillId="0" borderId="45" xfId="0" applyFont="1" applyBorder="1" applyAlignment="1">
      <alignment horizontal="left" vertical="center" wrapText="1"/>
    </xf>
    <xf numFmtId="0" fontId="11" fillId="2" borderId="46" xfId="0" applyFont="1" applyFill="1" applyBorder="1" applyAlignment="1">
      <alignment horizontal="center" vertical="center" wrapText="1"/>
    </xf>
    <xf numFmtId="0" fontId="11" fillId="0" borderId="50" xfId="0" applyFont="1" applyBorder="1" applyAlignment="1">
      <alignment horizontal="center" vertical="center" wrapText="1"/>
    </xf>
    <xf numFmtId="0" fontId="10" fillId="0" borderId="0" xfId="0" applyFont="1" applyAlignment="1">
      <alignment horizontal="center" vertical="center"/>
    </xf>
    <xf numFmtId="0" fontId="1" fillId="0" borderId="5" xfId="0" applyFont="1" applyBorder="1" applyAlignment="1">
      <alignment horizontal="center" vertical="center"/>
    </xf>
    <xf numFmtId="0" fontId="1" fillId="0" borderId="11" xfId="0" applyFont="1" applyBorder="1" applyAlignment="1">
      <alignment horizontal="center" vertical="center"/>
    </xf>
    <xf numFmtId="0" fontId="10" fillId="0" borderId="52" xfId="0" applyFont="1" applyBorder="1" applyAlignment="1">
      <alignment horizontal="center" vertical="center" wrapText="1"/>
    </xf>
    <xf numFmtId="0" fontId="10" fillId="0" borderId="18" xfId="0" applyFont="1" applyBorder="1" applyAlignment="1">
      <alignment horizontal="center" vertical="center" wrapText="1"/>
    </xf>
    <xf numFmtId="0" fontId="10" fillId="3" borderId="53" xfId="0" applyFont="1" applyFill="1" applyBorder="1" applyAlignment="1">
      <alignment horizontal="center" vertical="center" wrapText="1"/>
    </xf>
    <xf numFmtId="1" fontId="10" fillId="3" borderId="53" xfId="0" applyNumberFormat="1" applyFont="1" applyFill="1" applyBorder="1" applyAlignment="1">
      <alignment horizontal="center" vertical="center" wrapText="1"/>
    </xf>
    <xf numFmtId="0" fontId="15" fillId="0" borderId="55" xfId="0" applyFont="1" applyBorder="1" applyAlignment="1">
      <alignment horizontal="center" vertical="center" wrapText="1"/>
    </xf>
    <xf numFmtId="0" fontId="10" fillId="0" borderId="0" xfId="0" applyFont="1" applyAlignment="1">
      <alignment horizontal="center" vertical="center" wrapText="1"/>
    </xf>
    <xf numFmtId="0" fontId="10" fillId="0" borderId="56" xfId="0" applyFont="1" applyBorder="1" applyAlignment="1">
      <alignment horizontal="center" vertical="center" wrapText="1"/>
    </xf>
    <xf numFmtId="0" fontId="1" fillId="0" borderId="57" xfId="0" applyFont="1" applyBorder="1" applyAlignment="1">
      <alignment horizontal="center" vertical="center" wrapText="1"/>
    </xf>
    <xf numFmtId="0" fontId="10" fillId="3" borderId="60" xfId="0" applyFont="1" applyFill="1" applyBorder="1" applyAlignment="1">
      <alignment horizontal="center" vertical="center" wrapText="1"/>
    </xf>
    <xf numFmtId="1" fontId="10" fillId="3" borderId="28"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1" xfId="0" applyFont="1" applyBorder="1" applyAlignment="1">
      <alignment horizontal="center" vertical="center" wrapText="1"/>
    </xf>
    <xf numFmtId="0" fontId="11" fillId="2" borderId="10" xfId="0" applyFont="1" applyFill="1" applyBorder="1" applyAlignment="1">
      <alignment horizontal="center" vertical="center" wrapText="1"/>
    </xf>
    <xf numFmtId="0" fontId="10" fillId="0" borderId="10" xfId="0" applyFont="1" applyBorder="1" applyAlignment="1">
      <alignment vertical="center" wrapText="1"/>
    </xf>
    <xf numFmtId="0" fontId="10" fillId="0" borderId="62" xfId="0" applyFont="1" applyBorder="1" applyAlignment="1">
      <alignment vertical="center" wrapText="1"/>
    </xf>
    <xf numFmtId="0" fontId="17" fillId="0" borderId="0" xfId="0" applyFont="1" applyAlignment="1">
      <alignment vertical="center"/>
    </xf>
    <xf numFmtId="0" fontId="11" fillId="2" borderId="5" xfId="0" applyFont="1" applyFill="1" applyBorder="1" applyAlignment="1">
      <alignment vertical="center" wrapText="1"/>
    </xf>
    <xf numFmtId="0" fontId="10" fillId="3" borderId="10" xfId="0" applyFont="1" applyFill="1" applyBorder="1" applyAlignment="1">
      <alignment horizontal="center" vertical="center"/>
    </xf>
    <xf numFmtId="0" fontId="10" fillId="0" borderId="5" xfId="0" applyFont="1" applyBorder="1" applyAlignment="1">
      <alignment horizontal="center" vertical="center" wrapText="1"/>
    </xf>
    <xf numFmtId="0" fontId="10" fillId="3" borderId="62" xfId="0" applyFont="1" applyFill="1" applyBorder="1" applyAlignment="1">
      <alignment horizontal="center" vertical="center"/>
    </xf>
    <xf numFmtId="0" fontId="10" fillId="0" borderId="63" xfId="0" applyFont="1" applyBorder="1" applyAlignment="1">
      <alignment horizontal="center" vertical="center" wrapText="1"/>
    </xf>
    <xf numFmtId="0" fontId="12" fillId="2" borderId="65" xfId="0" applyFont="1" applyFill="1" applyBorder="1" applyAlignment="1">
      <alignment horizontal="left" vertical="center"/>
    </xf>
    <xf numFmtId="0" fontId="18" fillId="2" borderId="65" xfId="0" applyFont="1" applyFill="1" applyBorder="1" applyAlignment="1">
      <alignment horizontal="left" vertical="center"/>
    </xf>
    <xf numFmtId="0" fontId="12" fillId="2" borderId="53" xfId="0" applyFont="1" applyFill="1" applyBorder="1" applyAlignment="1">
      <alignment horizontal="left" vertical="center"/>
    </xf>
    <xf numFmtId="0" fontId="1" fillId="0" borderId="66" xfId="0" applyFont="1" applyBorder="1" applyAlignment="1">
      <alignment horizontal="center" vertical="center"/>
    </xf>
    <xf numFmtId="0" fontId="1" fillId="0" borderId="67" xfId="0" applyFont="1" applyBorder="1" applyAlignment="1">
      <alignment horizontal="left" vertical="center"/>
    </xf>
    <xf numFmtId="0" fontId="1" fillId="0" borderId="68" xfId="0" applyFont="1" applyBorder="1" applyAlignment="1">
      <alignment horizontal="left" vertical="center"/>
    </xf>
    <xf numFmtId="0" fontId="1" fillId="0" borderId="69" xfId="0" applyFont="1" applyBorder="1" applyAlignment="1">
      <alignment horizontal="center" vertical="center"/>
    </xf>
    <xf numFmtId="0" fontId="1" fillId="0" borderId="70" xfId="0" applyFont="1" applyBorder="1" applyAlignment="1">
      <alignment horizontal="left" vertical="center"/>
    </xf>
    <xf numFmtId="0" fontId="1" fillId="0" borderId="71" xfId="0" applyFont="1" applyBorder="1" applyAlignment="1">
      <alignment horizontal="left" vertical="center"/>
    </xf>
    <xf numFmtId="0" fontId="1" fillId="0" borderId="25" xfId="0" applyFont="1" applyBorder="1" applyAlignment="1">
      <alignment vertical="center"/>
    </xf>
    <xf numFmtId="0" fontId="1" fillId="0" borderId="31" xfId="0" applyFont="1" applyBorder="1" applyAlignment="1">
      <alignment vertical="center"/>
    </xf>
    <xf numFmtId="0" fontId="1" fillId="0" borderId="5" xfId="0" applyFont="1" applyBorder="1" applyAlignment="1">
      <alignment vertical="center" wrapText="1"/>
    </xf>
    <xf numFmtId="0" fontId="1" fillId="0" borderId="72" xfId="0" applyFont="1" applyBorder="1" applyAlignment="1">
      <alignment horizontal="center" vertical="center"/>
    </xf>
    <xf numFmtId="0" fontId="1" fillId="0" borderId="73" xfId="0" applyFont="1" applyBorder="1" applyAlignment="1">
      <alignment horizontal="left" vertical="center"/>
    </xf>
    <xf numFmtId="0" fontId="1" fillId="0" borderId="74" xfId="0" applyFont="1" applyBorder="1" applyAlignment="1">
      <alignment horizontal="left" vertical="center"/>
    </xf>
    <xf numFmtId="0" fontId="1" fillId="0" borderId="4" xfId="0" applyFont="1" applyBorder="1" applyAlignment="1">
      <alignment vertical="center"/>
    </xf>
    <xf numFmtId="0" fontId="1" fillId="0" borderId="0" xfId="0" applyFont="1"/>
    <xf numFmtId="0" fontId="10" fillId="0" borderId="0" xfId="0" applyFont="1" applyAlignment="1">
      <alignment horizontal="left" vertical="center" wrapText="1"/>
    </xf>
    <xf numFmtId="0" fontId="11" fillId="2" borderId="11" xfId="0" applyFont="1" applyFill="1" applyBorder="1" applyAlignment="1">
      <alignment horizontal="center" vertical="center" wrapText="1"/>
    </xf>
    <xf numFmtId="0" fontId="10" fillId="0" borderId="11" xfId="0" applyFont="1" applyBorder="1" applyAlignment="1">
      <alignment horizontal="center" vertical="center" wrapText="1"/>
    </xf>
    <xf numFmtId="0" fontId="10" fillId="0" borderId="77" xfId="0" applyFont="1" applyBorder="1" applyAlignment="1">
      <alignment horizontal="center" vertical="center" wrapText="1"/>
    </xf>
    <xf numFmtId="0" fontId="10" fillId="0" borderId="0" xfId="0" applyFont="1" applyAlignment="1">
      <alignment horizontal="left" vertical="center"/>
    </xf>
    <xf numFmtId="0" fontId="5" fillId="0" borderId="30" xfId="0" applyFont="1" applyBorder="1"/>
    <xf numFmtId="0" fontId="5" fillId="0" borderId="27" xfId="0" applyFont="1" applyBorder="1"/>
    <xf numFmtId="0" fontId="5" fillId="0" borderId="26" xfId="0" applyFont="1" applyBorder="1"/>
    <xf numFmtId="0" fontId="5" fillId="0" borderId="59" xfId="0" applyFont="1" applyBorder="1"/>
    <xf numFmtId="0" fontId="5" fillId="0" borderId="49" xfId="0" applyFont="1" applyBorder="1"/>
    <xf numFmtId="0" fontId="5" fillId="0" borderId="54" xfId="0" applyFont="1" applyBorder="1"/>
    <xf numFmtId="0" fontId="25" fillId="2" borderId="65" xfId="0" applyFont="1" applyFill="1" applyBorder="1" applyAlignment="1">
      <alignment horizontal="left" vertical="center"/>
    </xf>
    <xf numFmtId="0" fontId="14" fillId="0" borderId="38" xfId="0" applyFont="1" applyBorder="1" applyAlignment="1">
      <alignment vertical="center" wrapText="1"/>
    </xf>
    <xf numFmtId="0" fontId="5" fillId="0" borderId="75" xfId="0" applyFont="1" applyBorder="1"/>
    <xf numFmtId="0" fontId="5" fillId="0" borderId="76" xfId="0" applyFont="1" applyBorder="1"/>
    <xf numFmtId="0" fontId="14" fillId="0" borderId="38" xfId="0" applyFont="1" applyBorder="1" applyAlignment="1">
      <alignment horizontal="left" vertical="center" wrapText="1"/>
    </xf>
    <xf numFmtId="0" fontId="5" fillId="0" borderId="30" xfId="0" applyFont="1" applyBorder="1" applyAlignment="1">
      <alignment horizontal="left"/>
    </xf>
    <xf numFmtId="0" fontId="26" fillId="0" borderId="29" xfId="0" applyFont="1" applyBorder="1" applyAlignment="1">
      <alignment horizontal="left" vertical="center" wrapText="1"/>
    </xf>
    <xf numFmtId="0" fontId="14" fillId="0" borderId="30" xfId="0" applyFont="1" applyBorder="1" applyAlignment="1">
      <alignment horizontal="left" vertical="center" wrapText="1"/>
    </xf>
    <xf numFmtId="0" fontId="14" fillId="0" borderId="39" xfId="0" applyFont="1" applyBorder="1" applyAlignment="1">
      <alignment horizontal="left" vertical="center" wrapText="1"/>
    </xf>
    <xf numFmtId="0" fontId="14" fillId="0" borderId="80" xfId="0" applyFont="1" applyBorder="1" applyAlignment="1">
      <alignment horizontal="left" vertical="center" wrapText="1"/>
    </xf>
    <xf numFmtId="0" fontId="14" fillId="0" borderId="81" xfId="0" applyFont="1" applyBorder="1" applyAlignment="1">
      <alignment horizontal="left" vertical="center" wrapText="1"/>
    </xf>
    <xf numFmtId="0" fontId="14" fillId="0" borderId="82" xfId="0" applyFont="1" applyBorder="1" applyAlignment="1">
      <alignment horizontal="left" vertical="center" wrapText="1"/>
    </xf>
    <xf numFmtId="0" fontId="26" fillId="0" borderId="30" xfId="0" applyFont="1" applyBorder="1" applyAlignment="1">
      <alignment horizontal="left" vertical="center" wrapText="1"/>
    </xf>
    <xf numFmtId="0" fontId="26" fillId="0" borderId="31" xfId="0" applyFont="1" applyBorder="1" applyAlignment="1">
      <alignment horizontal="left" vertical="center" wrapText="1"/>
    </xf>
    <xf numFmtId="0" fontId="14" fillId="0" borderId="38" xfId="0" applyFont="1" applyBorder="1" applyAlignment="1">
      <alignment horizontal="left" vertical="center" wrapText="1"/>
    </xf>
    <xf numFmtId="0" fontId="14" fillId="0" borderId="31" xfId="0" applyFont="1" applyBorder="1" applyAlignment="1">
      <alignment horizontal="left" vertical="center" wrapText="1"/>
    </xf>
    <xf numFmtId="0" fontId="14" fillId="0" borderId="29" xfId="0" applyFont="1" applyBorder="1" applyAlignment="1">
      <alignment horizontal="left" vertical="center" wrapText="1"/>
    </xf>
    <xf numFmtId="0" fontId="1" fillId="0" borderId="1" xfId="0" applyFont="1" applyBorder="1" applyAlignment="1">
      <alignment horizontal="center" vertical="center" wrapText="1"/>
    </xf>
    <xf numFmtId="0" fontId="5" fillId="0" borderId="6" xfId="0" applyFont="1" applyBorder="1"/>
    <xf numFmtId="0" fontId="2" fillId="0" borderId="2" xfId="0" applyFont="1" applyBorder="1" applyAlignment="1">
      <alignment horizontal="center" vertical="center"/>
    </xf>
    <xf numFmtId="0" fontId="5" fillId="0" borderId="7" xfId="0" applyFont="1" applyBorder="1"/>
    <xf numFmtId="0" fontId="2" fillId="0" borderId="3" xfId="0" applyFont="1" applyBorder="1" applyAlignment="1">
      <alignment horizontal="left" vertical="center"/>
    </xf>
    <xf numFmtId="0" fontId="5" fillId="0" borderId="8" xfId="0" applyFont="1" applyBorder="1"/>
    <xf numFmtId="0" fontId="3" fillId="0" borderId="4" xfId="0" applyFont="1" applyBorder="1" applyAlignment="1">
      <alignment horizontal="center" vertical="center" wrapText="1"/>
    </xf>
    <xf numFmtId="0" fontId="5" fillId="0" borderId="9" xfId="0" applyFont="1" applyBorder="1"/>
    <xf numFmtId="0" fontId="5" fillId="0" borderId="15" xfId="0" applyFont="1" applyBorder="1"/>
    <xf numFmtId="0" fontId="16" fillId="0" borderId="4" xfId="0" applyFont="1" applyBorder="1" applyAlignment="1">
      <alignment horizontal="center" vertical="center" wrapText="1"/>
    </xf>
    <xf numFmtId="0" fontId="26" fillId="0" borderId="33" xfId="0" applyFont="1" applyBorder="1" applyAlignment="1">
      <alignment horizontal="left" vertical="center" wrapText="1"/>
    </xf>
    <xf numFmtId="0" fontId="26" fillId="0" borderId="36" xfId="0" applyFont="1" applyBorder="1" applyAlignment="1">
      <alignment horizontal="left" vertical="center" wrapText="1"/>
    </xf>
    <xf numFmtId="0" fontId="26" fillId="0" borderId="78" xfId="0" applyFont="1" applyBorder="1" applyAlignment="1">
      <alignment horizontal="left" vertical="center" wrapText="1"/>
    </xf>
    <xf numFmtId="4" fontId="14" fillId="0" borderId="36" xfId="0" applyNumberFormat="1" applyFont="1" applyBorder="1" applyAlignment="1">
      <alignment horizontal="left" vertical="center" wrapText="1"/>
    </xf>
    <xf numFmtId="4" fontId="14" fillId="0" borderId="37" xfId="0" applyNumberFormat="1" applyFont="1" applyBorder="1" applyAlignment="1">
      <alignment horizontal="left" vertical="center" wrapText="1"/>
    </xf>
    <xf numFmtId="0" fontId="11" fillId="0" borderId="0" xfId="0" applyFont="1" applyAlignment="1">
      <alignment horizontal="center" vertical="center" wrapText="1"/>
    </xf>
    <xf numFmtId="0" fontId="0" fillId="0" borderId="0" xfId="0"/>
    <xf numFmtId="0" fontId="5" fillId="0" borderId="27" xfId="0" applyFont="1" applyBorder="1"/>
    <xf numFmtId="0" fontId="11" fillId="0" borderId="30" xfId="0" applyFont="1" applyBorder="1" applyAlignment="1">
      <alignment horizontal="center" vertical="center"/>
    </xf>
    <xf numFmtId="0" fontId="5" fillId="0" borderId="30" xfId="0" applyFont="1" applyBorder="1"/>
    <xf numFmtId="0" fontId="5" fillId="0" borderId="31" xfId="0" applyFont="1" applyBorder="1"/>
    <xf numFmtId="0" fontId="13" fillId="0" borderId="29" xfId="0" applyFont="1" applyBorder="1" applyAlignment="1">
      <alignment horizontal="left" vertical="center" wrapText="1"/>
    </xf>
    <xf numFmtId="0" fontId="5" fillId="0" borderId="39" xfId="0" applyFont="1" applyBorder="1"/>
    <xf numFmtId="0" fontId="1" fillId="0" borderId="0" xfId="0" applyFont="1" applyAlignment="1">
      <alignment horizontal="center" vertical="center"/>
    </xf>
    <xf numFmtId="0" fontId="4" fillId="0" borderId="0" xfId="0" applyFont="1" applyAlignment="1">
      <alignment horizontal="center" vertical="center"/>
    </xf>
    <xf numFmtId="0" fontId="7" fillId="2" borderId="12" xfId="0" applyFont="1" applyFill="1" applyBorder="1" applyAlignment="1">
      <alignment horizontal="center" vertical="center" wrapText="1"/>
    </xf>
    <xf numFmtId="0" fontId="5" fillId="0" borderId="13" xfId="0" applyFont="1" applyBorder="1"/>
    <xf numFmtId="0" fontId="5" fillId="0" borderId="14" xfId="0" applyFont="1" applyBorder="1"/>
    <xf numFmtId="0" fontId="8" fillId="0" borderId="16" xfId="0" applyFont="1" applyBorder="1" applyAlignment="1">
      <alignment horizontal="left" vertical="center" wrapText="1"/>
    </xf>
    <xf numFmtId="0" fontId="5" fillId="0" borderId="17" xfId="0" applyFont="1" applyBorder="1"/>
    <xf numFmtId="0" fontId="5" fillId="0" borderId="18" xfId="0" applyFont="1" applyBorder="1"/>
    <xf numFmtId="0" fontId="9" fillId="0" borderId="19" xfId="0" applyFont="1" applyBorder="1" applyAlignment="1">
      <alignment horizontal="left" vertical="center" wrapText="1"/>
    </xf>
    <xf numFmtId="0" fontId="5" fillId="0" borderId="20" xfId="0" applyFont="1" applyBorder="1"/>
    <xf numFmtId="0" fontId="5" fillId="0" borderId="21" xfId="0" applyFont="1" applyBorder="1"/>
    <xf numFmtId="0" fontId="5" fillId="0" borderId="22" xfId="0" applyFont="1" applyBorder="1"/>
    <xf numFmtId="0" fontId="5" fillId="0" borderId="23" xfId="0" applyFont="1" applyBorder="1"/>
    <xf numFmtId="0" fontId="5" fillId="0" borderId="24" xfId="0" applyFont="1" applyBorder="1"/>
    <xf numFmtId="0" fontId="12" fillId="2" borderId="36" xfId="0" applyFont="1" applyFill="1" applyBorder="1" applyAlignment="1">
      <alignment horizontal="left" vertical="center" wrapText="1"/>
    </xf>
    <xf numFmtId="0" fontId="5" fillId="0" borderId="34" xfId="0" applyFont="1" applyBorder="1"/>
    <xf numFmtId="0" fontId="5" fillId="0" borderId="35" xfId="0" applyFont="1" applyBorder="1"/>
    <xf numFmtId="0" fontId="5" fillId="0" borderId="37" xfId="0" applyFont="1" applyBorder="1"/>
    <xf numFmtId="0" fontId="12" fillId="2" borderId="33" xfId="0" applyFont="1" applyFill="1" applyBorder="1" applyAlignment="1">
      <alignment horizontal="left" vertical="center" wrapText="1"/>
    </xf>
    <xf numFmtId="0" fontId="11" fillId="0" borderId="29" xfId="0" applyFont="1" applyBorder="1" applyAlignment="1">
      <alignment horizontal="left" vertical="center"/>
    </xf>
    <xf numFmtId="0" fontId="10" fillId="0" borderId="38" xfId="0" applyFont="1" applyBorder="1" applyAlignment="1">
      <alignment horizontal="left" vertical="center" wrapText="1"/>
    </xf>
    <xf numFmtId="0" fontId="10" fillId="0" borderId="43" xfId="0" applyFont="1" applyBorder="1" applyAlignment="1">
      <alignment horizontal="center" vertical="center" wrapText="1"/>
    </xf>
    <xf numFmtId="0" fontId="5" fillId="0" borderId="41" xfId="0" applyFont="1" applyBorder="1"/>
    <xf numFmtId="0" fontId="5" fillId="0" borderId="42" xfId="0" applyFont="1" applyBorder="1"/>
    <xf numFmtId="0" fontId="11" fillId="2" borderId="29" xfId="0" applyFont="1" applyFill="1" applyBorder="1" applyAlignment="1">
      <alignment horizontal="center" vertical="center" wrapText="1"/>
    </xf>
    <xf numFmtId="0" fontId="5" fillId="0" borderId="44" xfId="0" applyFont="1" applyBorder="1"/>
    <xf numFmtId="0" fontId="10" fillId="0" borderId="29" xfId="0" applyFont="1" applyBorder="1" applyAlignment="1">
      <alignment horizontal="center" vertical="center" wrapText="1"/>
    </xf>
    <xf numFmtId="0" fontId="10" fillId="0" borderId="43" xfId="0" applyFont="1" applyBorder="1" applyAlignment="1">
      <alignment horizontal="left" vertical="center" wrapText="1"/>
    </xf>
    <xf numFmtId="0" fontId="10" fillId="0" borderId="43" xfId="0" applyFont="1" applyBorder="1" applyAlignment="1">
      <alignment horizontal="center" vertical="center"/>
    </xf>
    <xf numFmtId="0" fontId="10" fillId="0" borderId="40" xfId="0" applyFont="1" applyBorder="1" applyAlignment="1">
      <alignment horizontal="left" vertical="center" wrapText="1"/>
    </xf>
    <xf numFmtId="0" fontId="14" fillId="2" borderId="16" xfId="0" applyFont="1" applyFill="1" applyBorder="1" applyAlignment="1">
      <alignment vertical="center" wrapText="1"/>
    </xf>
    <xf numFmtId="0" fontId="20" fillId="0" borderId="4" xfId="0" applyFont="1" applyBorder="1" applyAlignment="1">
      <alignment horizontal="center" vertical="center" wrapText="1"/>
    </xf>
    <xf numFmtId="0" fontId="20" fillId="0" borderId="4" xfId="0" applyFont="1" applyBorder="1" applyAlignment="1">
      <alignment horizontal="center" vertical="center"/>
    </xf>
    <xf numFmtId="0" fontId="9" fillId="0" borderId="0" xfId="0" applyFont="1" applyAlignment="1">
      <alignment horizontal="left" vertical="center" wrapText="1"/>
    </xf>
    <xf numFmtId="0" fontId="22" fillId="0" borderId="0" xfId="0" applyFont="1" applyAlignment="1">
      <alignment horizontal="left" vertical="center" wrapText="1"/>
    </xf>
    <xf numFmtId="0" fontId="10" fillId="0" borderId="40" xfId="0" applyFont="1" applyBorder="1" applyAlignment="1">
      <alignment horizontal="center" vertical="center" wrapText="1"/>
    </xf>
    <xf numFmtId="14" fontId="10" fillId="0" borderId="43" xfId="0" applyNumberFormat="1" applyFont="1" applyBorder="1" applyAlignment="1">
      <alignment horizontal="center" vertical="center"/>
    </xf>
    <xf numFmtId="0" fontId="12" fillId="2" borderId="33" xfId="0" applyFont="1" applyFill="1" applyBorder="1" applyAlignment="1">
      <alignment horizontal="center" vertical="center" wrapText="1"/>
    </xf>
    <xf numFmtId="0" fontId="21" fillId="0" borderId="0" xfId="0" applyFont="1" applyAlignment="1">
      <alignment horizontal="left" vertical="center"/>
    </xf>
    <xf numFmtId="0" fontId="10" fillId="0" borderId="29" xfId="0" applyFont="1" applyBorder="1" applyAlignment="1">
      <alignment horizontal="left" vertical="center" wrapText="1"/>
    </xf>
    <xf numFmtId="0" fontId="12" fillId="2" borderId="16" xfId="0" applyFont="1" applyFill="1" applyBorder="1" applyAlignment="1">
      <alignment horizontal="left" vertical="center"/>
    </xf>
    <xf numFmtId="0" fontId="5" fillId="0" borderId="64" xfId="0" applyFont="1" applyBorder="1"/>
    <xf numFmtId="0" fontId="12" fillId="2" borderId="38" xfId="0" applyFont="1" applyFill="1" applyBorder="1" applyAlignment="1">
      <alignment horizontal="left" vertical="center" wrapText="1"/>
    </xf>
    <xf numFmtId="0" fontId="12" fillId="2" borderId="29" xfId="0" applyFont="1" applyFill="1" applyBorder="1" applyAlignment="1">
      <alignment horizontal="left" vertical="center" wrapText="1"/>
    </xf>
    <xf numFmtId="0" fontId="11" fillId="2" borderId="38" xfId="0" applyFont="1" applyFill="1" applyBorder="1" applyAlignment="1">
      <alignment horizontal="center" vertical="center" wrapText="1"/>
    </xf>
    <xf numFmtId="0" fontId="5" fillId="0" borderId="48" xfId="0" applyFont="1" applyBorder="1"/>
    <xf numFmtId="0" fontId="5" fillId="0" borderId="49" xfId="0" applyFont="1" applyBorder="1"/>
    <xf numFmtId="0" fontId="5" fillId="0" borderId="51" xfId="0" applyFont="1" applyBorder="1"/>
    <xf numFmtId="0" fontId="5" fillId="0" borderId="54" xfId="0" applyFont="1" applyBorder="1"/>
    <xf numFmtId="0" fontId="5" fillId="0" borderId="26" xfId="0" applyFont="1" applyBorder="1"/>
    <xf numFmtId="0" fontId="5" fillId="0" borderId="55" xfId="0" applyFont="1" applyBorder="1"/>
    <xf numFmtId="0" fontId="19" fillId="2" borderId="16" xfId="0" applyFont="1" applyFill="1" applyBorder="1" applyAlignment="1">
      <alignment horizontal="center" vertical="center"/>
    </xf>
    <xf numFmtId="0" fontId="10" fillId="0" borderId="61" xfId="0" applyFont="1" applyBorder="1" applyAlignment="1">
      <alignment horizontal="center" vertical="center"/>
    </xf>
    <xf numFmtId="0" fontId="10" fillId="0" borderId="54" xfId="0" applyFont="1" applyBorder="1" applyAlignment="1">
      <alignment horizontal="left" vertical="center" wrapText="1"/>
    </xf>
    <xf numFmtId="0" fontId="10" fillId="0" borderId="58" xfId="0" applyFont="1" applyBorder="1" applyAlignment="1">
      <alignment horizontal="center" vertical="center" wrapText="1"/>
    </xf>
    <xf numFmtId="0" fontId="5" fillId="0" borderId="59" xfId="0" applyFont="1" applyBorder="1"/>
    <xf numFmtId="0" fontId="11" fillId="2" borderId="16" xfId="0" applyFont="1" applyFill="1" applyBorder="1" applyAlignment="1">
      <alignment horizontal="center" vertical="center" wrapText="1"/>
    </xf>
    <xf numFmtId="0" fontId="10" fillId="0" borderId="47" xfId="0" applyFont="1" applyBorder="1" applyAlignment="1">
      <alignment horizontal="left" vertical="center" wrapText="1"/>
    </xf>
    <xf numFmtId="0" fontId="24" fillId="0" borderId="49" xfId="0" applyFont="1" applyBorder="1" applyAlignment="1">
      <alignment horizontal="center" vertical="center" wrapText="1"/>
    </xf>
    <xf numFmtId="0" fontId="13" fillId="0" borderId="43" xfId="0" applyFont="1" applyBorder="1" applyAlignment="1">
      <alignment horizontal="left" vertical="center" wrapText="1"/>
    </xf>
    <xf numFmtId="0" fontId="5" fillId="0" borderId="47" xfId="0" applyFont="1" applyBorder="1" applyAlignment="1">
      <alignment horizontal="left" vertical="center" wrapText="1"/>
    </xf>
    <xf numFmtId="4" fontId="14" fillId="0" borderId="79" xfId="0" applyNumberFormat="1" applyFont="1" applyBorder="1" applyAlignment="1">
      <alignment horizontal="left" vertical="center" wrapText="1"/>
    </xf>
    <xf numFmtId="0" fontId="5" fillId="0" borderId="38" xfId="0" applyFont="1" applyBorder="1" applyAlignment="1">
      <alignment horizontal="left" vertical="center" wrapText="1"/>
    </xf>
    <xf numFmtId="0" fontId="5" fillId="0" borderId="29"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4</xdr:col>
      <xdr:colOff>200025</xdr:colOff>
      <xdr:row>0</xdr:row>
      <xdr:rowOff>85725</xdr:rowOff>
    </xdr:from>
    <xdr:ext cx="1857375" cy="60007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808080"/>
  </sheetPr>
  <dimension ref="A1:Z108"/>
  <sheetViews>
    <sheetView showGridLines="0" tabSelected="1" topLeftCell="A80" zoomScale="180" zoomScaleNormal="180" workbookViewId="0">
      <selection activeCell="I93" sqref="I93:K93"/>
    </sheetView>
  </sheetViews>
  <sheetFormatPr baseColWidth="10" defaultColWidth="12.59765625" defaultRowHeight="15" customHeight="1" x14ac:dyDescent="0.2"/>
  <cols>
    <col min="1" max="1" width="7.796875" customWidth="1"/>
    <col min="2" max="2" width="7.19921875" customWidth="1"/>
    <col min="3" max="3" width="8.59765625" customWidth="1"/>
    <col min="4" max="4" width="8.19921875" customWidth="1"/>
    <col min="5" max="5" width="13.796875" customWidth="1"/>
    <col min="6" max="6" width="9.796875" customWidth="1"/>
    <col min="7" max="7" width="6.3984375" customWidth="1"/>
    <col min="8" max="8" width="2.796875" customWidth="1"/>
    <col min="9" max="9" width="2.19921875" customWidth="1"/>
    <col min="10" max="10" width="5.796875" customWidth="1"/>
    <col min="11" max="11" width="13.3984375" customWidth="1"/>
    <col min="12" max="12" width="8.19921875" customWidth="1"/>
    <col min="13" max="13" width="11.3984375" customWidth="1"/>
    <col min="14" max="15" width="11.3984375" hidden="1" customWidth="1"/>
    <col min="16" max="16" width="24.59765625" hidden="1" customWidth="1"/>
    <col min="17" max="17" width="9.3984375" hidden="1" customWidth="1"/>
    <col min="18" max="19" width="11.3984375" hidden="1" customWidth="1"/>
    <col min="20" max="20" width="13.19921875" hidden="1" customWidth="1"/>
    <col min="21" max="23" width="11.3984375" hidden="1" customWidth="1"/>
    <col min="24" max="24" width="18.796875" hidden="1" customWidth="1"/>
    <col min="25" max="25" width="73.3984375" hidden="1" customWidth="1"/>
    <col min="26" max="26" width="11.3984375" hidden="1" customWidth="1"/>
  </cols>
  <sheetData>
    <row r="1" spans="1:26" ht="52.5" customHeight="1" x14ac:dyDescent="0.2">
      <c r="A1" s="116"/>
      <c r="B1" s="109"/>
      <c r="C1" s="109"/>
      <c r="D1" s="109"/>
      <c r="E1" s="109"/>
      <c r="F1" s="109"/>
      <c r="G1" s="109"/>
      <c r="H1" s="109"/>
      <c r="I1" s="109"/>
      <c r="J1" s="109"/>
      <c r="K1" s="109"/>
      <c r="L1" s="109"/>
      <c r="M1" s="2"/>
      <c r="N1" s="2"/>
      <c r="O1" s="93" t="s">
        <v>0</v>
      </c>
      <c r="P1" s="95" t="s">
        <v>1</v>
      </c>
      <c r="Q1" s="97" t="s">
        <v>2</v>
      </c>
      <c r="R1" s="2"/>
      <c r="S1" s="2" t="s">
        <v>2</v>
      </c>
      <c r="T1" s="2" t="s">
        <v>3</v>
      </c>
      <c r="U1" s="2"/>
      <c r="V1" s="2" t="s">
        <v>4</v>
      </c>
      <c r="W1" s="2" t="s">
        <v>5</v>
      </c>
      <c r="X1" s="99" t="s">
        <v>6</v>
      </c>
      <c r="Y1" s="3" t="s">
        <v>7</v>
      </c>
      <c r="Z1" s="2"/>
    </row>
    <row r="2" spans="1:26" ht="13.5" customHeight="1" x14ac:dyDescent="0.2">
      <c r="A2" s="117" t="s">
        <v>8</v>
      </c>
      <c r="B2" s="109"/>
      <c r="C2" s="109"/>
      <c r="D2" s="109"/>
      <c r="E2" s="109"/>
      <c r="F2" s="109"/>
      <c r="G2" s="109"/>
      <c r="H2" s="109"/>
      <c r="I2" s="109"/>
      <c r="J2" s="109"/>
      <c r="K2" s="109"/>
      <c r="L2" s="109"/>
      <c r="M2" s="2"/>
      <c r="N2" s="2"/>
      <c r="O2" s="94"/>
      <c r="P2" s="96"/>
      <c r="Q2" s="98"/>
      <c r="R2" s="2"/>
      <c r="S2" s="4"/>
      <c r="T2" s="2" t="s">
        <v>9</v>
      </c>
      <c r="U2" s="2" t="s">
        <v>10</v>
      </c>
      <c r="V2" s="2" t="s">
        <v>11</v>
      </c>
      <c r="W2" s="2" t="s">
        <v>12</v>
      </c>
      <c r="X2" s="100"/>
      <c r="Y2" s="3" t="s">
        <v>13</v>
      </c>
      <c r="Z2" s="2"/>
    </row>
    <row r="3" spans="1:26" ht="13.5" customHeight="1" x14ac:dyDescent="0.2">
      <c r="A3" s="117" t="s">
        <v>14</v>
      </c>
      <c r="B3" s="109"/>
      <c r="C3" s="109"/>
      <c r="D3" s="109"/>
      <c r="E3" s="109"/>
      <c r="F3" s="109"/>
      <c r="G3" s="109"/>
      <c r="H3" s="109"/>
      <c r="I3" s="109"/>
      <c r="J3" s="109"/>
      <c r="K3" s="109"/>
      <c r="L3" s="109"/>
      <c r="M3" s="2"/>
      <c r="N3" s="2"/>
      <c r="O3" s="5">
        <v>2520</v>
      </c>
      <c r="P3" s="6" t="s">
        <v>15</v>
      </c>
      <c r="Q3" s="7" t="s">
        <v>10</v>
      </c>
      <c r="R3" s="5">
        <v>2520</v>
      </c>
      <c r="S3" s="4" t="s">
        <v>16</v>
      </c>
      <c r="T3" s="2" t="s">
        <v>17</v>
      </c>
      <c r="U3" s="2" t="s">
        <v>10</v>
      </c>
      <c r="V3" s="2" t="s">
        <v>18</v>
      </c>
      <c r="W3" s="2" t="s">
        <v>19</v>
      </c>
      <c r="X3" s="99" t="s">
        <v>20</v>
      </c>
      <c r="Y3" s="3" t="s">
        <v>21</v>
      </c>
      <c r="Z3" s="2"/>
    </row>
    <row r="4" spans="1:26" ht="24" customHeight="1" x14ac:dyDescent="0.2">
      <c r="A4" s="118" t="s">
        <v>22</v>
      </c>
      <c r="B4" s="119"/>
      <c r="C4" s="119"/>
      <c r="D4" s="119"/>
      <c r="E4" s="119"/>
      <c r="F4" s="119"/>
      <c r="G4" s="119"/>
      <c r="H4" s="119"/>
      <c r="I4" s="119"/>
      <c r="J4" s="119"/>
      <c r="K4" s="119"/>
      <c r="L4" s="120"/>
      <c r="M4" s="2"/>
      <c r="N4" s="2"/>
      <c r="O4" s="5">
        <v>2523</v>
      </c>
      <c r="P4" s="8" t="s">
        <v>23</v>
      </c>
      <c r="Q4" s="7" t="s">
        <v>10</v>
      </c>
      <c r="R4" s="5">
        <v>2523</v>
      </c>
      <c r="S4" s="4" t="s">
        <v>24</v>
      </c>
      <c r="T4" s="2" t="s">
        <v>25</v>
      </c>
      <c r="U4" s="2" t="s">
        <v>10</v>
      </c>
      <c r="V4" s="2"/>
      <c r="W4" s="2"/>
      <c r="X4" s="101"/>
      <c r="Y4" s="3" t="s">
        <v>26</v>
      </c>
      <c r="Z4" s="2"/>
    </row>
    <row r="5" spans="1:26" ht="13.5" customHeight="1" x14ac:dyDescent="0.2">
      <c r="A5" s="2"/>
      <c r="B5" s="2"/>
      <c r="C5" s="2"/>
      <c r="D5" s="2"/>
      <c r="E5" s="2"/>
      <c r="F5" s="2"/>
      <c r="G5" s="2"/>
      <c r="H5" s="2"/>
      <c r="I5" s="2"/>
      <c r="J5" s="2"/>
      <c r="K5" s="2"/>
      <c r="L5" s="2"/>
      <c r="M5" s="2"/>
      <c r="N5" s="2"/>
      <c r="O5" s="5">
        <v>2506</v>
      </c>
      <c r="P5" s="8" t="s">
        <v>27</v>
      </c>
      <c r="Q5" s="7" t="s">
        <v>10</v>
      </c>
      <c r="R5" s="5">
        <v>2506</v>
      </c>
      <c r="S5" s="4" t="s">
        <v>28</v>
      </c>
      <c r="T5" s="2" t="s">
        <v>29</v>
      </c>
      <c r="U5" s="2" t="s">
        <v>10</v>
      </c>
      <c r="V5" s="2"/>
      <c r="W5" s="2"/>
      <c r="X5" s="101"/>
      <c r="Y5" s="3" t="s">
        <v>30</v>
      </c>
      <c r="Z5" s="2"/>
    </row>
    <row r="6" spans="1:26" ht="73.5" customHeight="1" x14ac:dyDescent="0.2">
      <c r="A6" s="121" t="s">
        <v>31</v>
      </c>
      <c r="B6" s="122"/>
      <c r="C6" s="122"/>
      <c r="D6" s="122"/>
      <c r="E6" s="122"/>
      <c r="F6" s="122"/>
      <c r="G6" s="122"/>
      <c r="H6" s="122"/>
      <c r="I6" s="122"/>
      <c r="J6" s="122"/>
      <c r="K6" s="122"/>
      <c r="L6" s="123"/>
      <c r="M6" s="2"/>
      <c r="N6" s="2"/>
      <c r="O6" s="5">
        <v>2507</v>
      </c>
      <c r="P6" s="8" t="s">
        <v>32</v>
      </c>
      <c r="Q6" s="7" t="s">
        <v>10</v>
      </c>
      <c r="R6" s="5">
        <v>2507</v>
      </c>
      <c r="S6" s="4" t="s">
        <v>33</v>
      </c>
      <c r="T6" s="2" t="s">
        <v>34</v>
      </c>
      <c r="U6" s="2" t="s">
        <v>10</v>
      </c>
      <c r="V6" s="2"/>
      <c r="W6" s="2"/>
      <c r="X6" s="101"/>
      <c r="Y6" s="3" t="s">
        <v>35</v>
      </c>
      <c r="Z6" s="2"/>
    </row>
    <row r="7" spans="1:26" ht="15" customHeight="1" x14ac:dyDescent="0.2">
      <c r="A7" s="124" t="s">
        <v>36</v>
      </c>
      <c r="B7" s="125"/>
      <c r="C7" s="125"/>
      <c r="D7" s="125"/>
      <c r="E7" s="125"/>
      <c r="F7" s="125"/>
      <c r="G7" s="125"/>
      <c r="H7" s="125"/>
      <c r="I7" s="125"/>
      <c r="J7" s="125"/>
      <c r="K7" s="125"/>
      <c r="L7" s="126"/>
      <c r="M7" s="2"/>
      <c r="N7" s="2"/>
      <c r="O7" s="5"/>
      <c r="P7" s="8"/>
      <c r="Q7" s="7"/>
      <c r="R7" s="5"/>
      <c r="S7" s="4"/>
      <c r="T7" s="2"/>
      <c r="U7" s="2"/>
      <c r="V7" s="2"/>
      <c r="W7" s="2"/>
      <c r="X7" s="101"/>
      <c r="Y7" s="3"/>
      <c r="Z7" s="2"/>
    </row>
    <row r="8" spans="1:26" ht="15" customHeight="1" x14ac:dyDescent="0.2">
      <c r="A8" s="127"/>
      <c r="B8" s="128"/>
      <c r="C8" s="128"/>
      <c r="D8" s="128"/>
      <c r="E8" s="128"/>
      <c r="F8" s="128"/>
      <c r="G8" s="128"/>
      <c r="H8" s="128"/>
      <c r="I8" s="128"/>
      <c r="J8" s="128"/>
      <c r="K8" s="128"/>
      <c r="L8" s="129"/>
      <c r="M8" s="2"/>
      <c r="N8" s="2"/>
      <c r="O8" s="5"/>
      <c r="P8" s="8"/>
      <c r="Q8" s="7"/>
      <c r="R8" s="5"/>
      <c r="S8" s="4"/>
      <c r="T8" s="2"/>
      <c r="U8" s="2"/>
      <c r="V8" s="2"/>
      <c r="W8" s="2"/>
      <c r="X8" s="101"/>
      <c r="Y8" s="3"/>
      <c r="Z8" s="2"/>
    </row>
    <row r="9" spans="1:26" ht="15" customHeight="1" x14ac:dyDescent="0.2">
      <c r="A9" s="9"/>
      <c r="B9" s="9"/>
      <c r="C9" s="9"/>
      <c r="D9" s="9"/>
      <c r="E9" s="9"/>
      <c r="F9" s="9"/>
      <c r="G9" s="9"/>
      <c r="H9" s="9"/>
      <c r="I9" s="9"/>
      <c r="J9" s="9"/>
      <c r="K9" s="9"/>
      <c r="L9" s="9"/>
      <c r="M9" s="2"/>
      <c r="N9" s="2"/>
      <c r="O9" s="5"/>
      <c r="P9" s="8"/>
      <c r="Q9" s="7"/>
      <c r="R9" s="5"/>
      <c r="S9" s="4"/>
      <c r="T9" s="2"/>
      <c r="U9" s="2"/>
      <c r="V9" s="2"/>
      <c r="W9" s="2"/>
      <c r="X9" s="101"/>
      <c r="Y9" s="3"/>
      <c r="Z9" s="2"/>
    </row>
    <row r="10" spans="1:26" ht="12.75" customHeight="1" x14ac:dyDescent="0.2">
      <c r="A10" s="10"/>
      <c r="B10" s="10"/>
      <c r="C10" s="10"/>
      <c r="D10" s="10"/>
      <c r="E10" s="10"/>
      <c r="F10" s="10"/>
      <c r="G10" s="10"/>
      <c r="H10" s="10"/>
      <c r="I10" s="11"/>
      <c r="J10" s="12" t="s">
        <v>37</v>
      </c>
      <c r="K10" s="12" t="s">
        <v>38</v>
      </c>
      <c r="L10" s="12" t="s">
        <v>39</v>
      </c>
      <c r="M10" s="2"/>
      <c r="N10" s="2"/>
      <c r="O10" s="5">
        <v>2513</v>
      </c>
      <c r="P10" s="8" t="s">
        <v>40</v>
      </c>
      <c r="Q10" s="7" t="s">
        <v>10</v>
      </c>
      <c r="R10" s="5">
        <v>2513</v>
      </c>
      <c r="S10" s="4" t="s">
        <v>41</v>
      </c>
      <c r="T10" s="2" t="s">
        <v>42</v>
      </c>
      <c r="U10" s="2" t="s">
        <v>10</v>
      </c>
      <c r="V10" s="2"/>
      <c r="W10" s="2"/>
      <c r="X10" s="101"/>
      <c r="Y10" s="3" t="s">
        <v>43</v>
      </c>
      <c r="Z10" s="2"/>
    </row>
    <row r="11" spans="1:26" ht="14.25" customHeight="1" x14ac:dyDescent="0.2">
      <c r="A11" s="10"/>
      <c r="B11" s="10"/>
      <c r="C11" s="10"/>
      <c r="D11" s="10"/>
      <c r="E11" s="108" t="s">
        <v>44</v>
      </c>
      <c r="F11" s="109"/>
      <c r="G11" s="109"/>
      <c r="H11" s="109"/>
      <c r="I11" s="110"/>
      <c r="J11" s="14">
        <v>24</v>
      </c>
      <c r="K11" s="14">
        <v>9</v>
      </c>
      <c r="L11" s="14">
        <v>2026</v>
      </c>
      <c r="M11" s="2"/>
      <c r="N11" s="2"/>
      <c r="O11" s="5">
        <v>2538</v>
      </c>
      <c r="P11" s="8" t="s">
        <v>45</v>
      </c>
      <c r="Q11" s="7" t="s">
        <v>10</v>
      </c>
      <c r="R11" s="5">
        <v>2538</v>
      </c>
      <c r="S11" s="4" t="s">
        <v>46</v>
      </c>
      <c r="T11" s="2" t="s">
        <v>47</v>
      </c>
      <c r="U11" s="2" t="s">
        <v>10</v>
      </c>
      <c r="V11" s="2"/>
      <c r="W11" s="2"/>
      <c r="X11" s="101"/>
      <c r="Y11" s="3" t="s">
        <v>48</v>
      </c>
      <c r="Z11" s="2"/>
    </row>
    <row r="12" spans="1:26" ht="14.25" customHeight="1" x14ac:dyDescent="0.2">
      <c r="A12" s="10"/>
      <c r="B12" s="10"/>
      <c r="C12" s="10"/>
      <c r="D12" s="10"/>
      <c r="E12" s="13"/>
      <c r="F12" s="13"/>
      <c r="G12" s="13"/>
      <c r="H12" s="13"/>
      <c r="I12" s="13"/>
      <c r="J12" s="15"/>
      <c r="K12" s="15"/>
      <c r="L12" s="15"/>
      <c r="M12" s="2"/>
      <c r="N12" s="2"/>
      <c r="O12" s="5"/>
      <c r="P12" s="8"/>
      <c r="Q12" s="7"/>
      <c r="R12" s="5"/>
      <c r="S12" s="4"/>
      <c r="T12" s="2"/>
      <c r="U12" s="2"/>
      <c r="V12" s="2"/>
      <c r="W12" s="2"/>
      <c r="X12" s="101"/>
      <c r="Y12" s="3"/>
      <c r="Z12" s="2"/>
    </row>
    <row r="13" spans="1:26" ht="17.25" customHeight="1" x14ac:dyDescent="0.2">
      <c r="A13" s="135" t="s">
        <v>49</v>
      </c>
      <c r="B13" s="112"/>
      <c r="C13" s="112"/>
      <c r="D13" s="112"/>
      <c r="E13" s="111"/>
      <c r="F13" s="112"/>
      <c r="G13" s="112"/>
      <c r="H13" s="112"/>
      <c r="I13" s="112"/>
      <c r="J13" s="112"/>
      <c r="K13" s="112"/>
      <c r="L13" s="113"/>
      <c r="M13" s="2"/>
      <c r="N13" s="2"/>
      <c r="O13" s="5">
        <v>2521</v>
      </c>
      <c r="P13" s="8" t="s">
        <v>50</v>
      </c>
      <c r="Q13" s="7" t="s">
        <v>10</v>
      </c>
      <c r="R13" s="5">
        <v>2521</v>
      </c>
      <c r="S13" s="4"/>
      <c r="T13" s="2" t="s">
        <v>51</v>
      </c>
      <c r="U13" s="2" t="s">
        <v>10</v>
      </c>
      <c r="V13" s="2"/>
      <c r="W13" s="2"/>
      <c r="X13" s="100"/>
      <c r="Y13" s="3" t="s">
        <v>52</v>
      </c>
      <c r="Z13" s="2"/>
    </row>
    <row r="14" spans="1:26" ht="17.25" customHeight="1" x14ac:dyDescent="0.2">
      <c r="A14" s="16"/>
      <c r="B14" s="16"/>
      <c r="C14" s="16"/>
      <c r="D14" s="16"/>
      <c r="E14" s="17"/>
      <c r="F14" s="17"/>
      <c r="G14" s="17"/>
      <c r="H14" s="17"/>
      <c r="I14" s="17"/>
      <c r="J14" s="17"/>
      <c r="K14" s="17"/>
      <c r="L14" s="17"/>
      <c r="M14" s="2"/>
      <c r="N14" s="2"/>
      <c r="O14" s="5"/>
      <c r="P14" s="8"/>
      <c r="Q14" s="7"/>
      <c r="R14" s="5"/>
      <c r="S14" s="4"/>
      <c r="T14" s="2"/>
      <c r="U14" s="2"/>
      <c r="V14" s="2"/>
      <c r="W14" s="2"/>
      <c r="X14" s="18"/>
      <c r="Y14" s="3"/>
      <c r="Z14" s="2"/>
    </row>
    <row r="15" spans="1:26" ht="15" customHeight="1" x14ac:dyDescent="0.2">
      <c r="A15" s="134" t="s">
        <v>53</v>
      </c>
      <c r="B15" s="131"/>
      <c r="C15" s="131"/>
      <c r="D15" s="131"/>
      <c r="E15" s="132"/>
      <c r="F15" s="130"/>
      <c r="G15" s="131"/>
      <c r="H15" s="131"/>
      <c r="I15" s="132"/>
      <c r="J15" s="130"/>
      <c r="K15" s="131"/>
      <c r="L15" s="133"/>
      <c r="M15" s="2"/>
      <c r="N15" s="2"/>
      <c r="O15" s="5">
        <v>2509</v>
      </c>
      <c r="P15" s="8" t="s">
        <v>54</v>
      </c>
      <c r="Q15" s="7" t="s">
        <v>10</v>
      </c>
      <c r="R15" s="5">
        <v>2509</v>
      </c>
      <c r="S15" s="2"/>
      <c r="T15" s="2" t="s">
        <v>55</v>
      </c>
      <c r="U15" s="2" t="s">
        <v>10</v>
      </c>
      <c r="V15" s="2"/>
      <c r="W15" s="2"/>
      <c r="X15" s="99" t="s">
        <v>56</v>
      </c>
      <c r="Y15" s="3" t="s">
        <v>57</v>
      </c>
      <c r="Z15" s="2"/>
    </row>
    <row r="16" spans="1:26" ht="15" customHeight="1" x14ac:dyDescent="0.2">
      <c r="A16" s="136" t="s">
        <v>58</v>
      </c>
      <c r="B16" s="112"/>
      <c r="C16" s="112"/>
      <c r="D16" s="112"/>
      <c r="E16" s="113"/>
      <c r="F16" s="114"/>
      <c r="G16" s="112"/>
      <c r="H16" s="112"/>
      <c r="I16" s="112"/>
      <c r="J16" s="112"/>
      <c r="K16" s="112"/>
      <c r="L16" s="115"/>
      <c r="M16" s="2"/>
      <c r="N16" s="2"/>
      <c r="O16" s="5">
        <v>2510</v>
      </c>
      <c r="P16" s="8" t="s">
        <v>59</v>
      </c>
      <c r="Q16" s="7" t="s">
        <v>10</v>
      </c>
      <c r="R16" s="5">
        <v>2510</v>
      </c>
      <c r="S16" s="2"/>
      <c r="T16" s="2" t="s">
        <v>60</v>
      </c>
      <c r="U16" s="2" t="s">
        <v>61</v>
      </c>
      <c r="V16" s="2"/>
      <c r="W16" s="2"/>
      <c r="X16" s="101"/>
      <c r="Y16" s="3" t="s">
        <v>62</v>
      </c>
      <c r="Z16" s="2"/>
    </row>
    <row r="17" spans="1:26" ht="15" customHeight="1" x14ac:dyDescent="0.2">
      <c r="A17" s="136" t="s">
        <v>63</v>
      </c>
      <c r="B17" s="112"/>
      <c r="C17" s="112"/>
      <c r="D17" s="112"/>
      <c r="E17" s="113"/>
      <c r="F17" s="114" t="s">
        <v>247</v>
      </c>
      <c r="G17" s="112"/>
      <c r="H17" s="112"/>
      <c r="I17" s="112"/>
      <c r="J17" s="112"/>
      <c r="K17" s="112"/>
      <c r="L17" s="115"/>
      <c r="M17" s="2"/>
      <c r="N17" s="2"/>
      <c r="O17" s="5">
        <v>2522</v>
      </c>
      <c r="P17" s="8" t="s">
        <v>64</v>
      </c>
      <c r="Q17" s="7" t="s">
        <v>10</v>
      </c>
      <c r="R17" s="5">
        <v>2522</v>
      </c>
      <c r="S17" s="2"/>
      <c r="T17" s="2" t="s">
        <v>65</v>
      </c>
      <c r="U17" s="2" t="s">
        <v>61</v>
      </c>
      <c r="V17" s="2"/>
      <c r="W17" s="2"/>
      <c r="X17" s="101"/>
      <c r="Y17" s="3" t="s">
        <v>66</v>
      </c>
      <c r="Z17" s="2"/>
    </row>
    <row r="18" spans="1:26" ht="15" customHeight="1" x14ac:dyDescent="0.2">
      <c r="A18" s="136" t="s">
        <v>67</v>
      </c>
      <c r="B18" s="112"/>
      <c r="C18" s="112"/>
      <c r="D18" s="112"/>
      <c r="E18" s="113"/>
      <c r="F18" s="114" t="s">
        <v>68</v>
      </c>
      <c r="G18" s="112"/>
      <c r="H18" s="112"/>
      <c r="I18" s="112"/>
      <c r="J18" s="112"/>
      <c r="K18" s="112"/>
      <c r="L18" s="115"/>
      <c r="M18" s="2"/>
      <c r="N18" s="2"/>
      <c r="O18" s="5">
        <v>2540</v>
      </c>
      <c r="P18" s="8" t="s">
        <v>69</v>
      </c>
      <c r="Q18" s="7" t="s">
        <v>10</v>
      </c>
      <c r="R18" s="5">
        <v>2540</v>
      </c>
      <c r="S18" s="2"/>
      <c r="T18" s="2" t="s">
        <v>70</v>
      </c>
      <c r="U18" s="2" t="s">
        <v>61</v>
      </c>
      <c r="V18" s="2"/>
      <c r="W18" s="2"/>
      <c r="X18" s="101"/>
      <c r="Y18" s="3" t="s">
        <v>71</v>
      </c>
      <c r="Z18" s="2"/>
    </row>
    <row r="19" spans="1:26" ht="15" customHeight="1" x14ac:dyDescent="0.2">
      <c r="A19" s="136" t="s">
        <v>72</v>
      </c>
      <c r="B19" s="112"/>
      <c r="C19" s="112"/>
      <c r="D19" s="112"/>
      <c r="E19" s="113"/>
      <c r="F19" s="114" t="s">
        <v>73</v>
      </c>
      <c r="G19" s="112"/>
      <c r="H19" s="112"/>
      <c r="I19" s="112"/>
      <c r="J19" s="112"/>
      <c r="K19" s="112"/>
      <c r="L19" s="115"/>
      <c r="M19" s="2"/>
      <c r="N19" s="2"/>
      <c r="O19" s="5">
        <v>2526</v>
      </c>
      <c r="P19" s="8" t="s">
        <v>74</v>
      </c>
      <c r="Q19" s="7" t="s">
        <v>10</v>
      </c>
      <c r="R19" s="5">
        <v>2526</v>
      </c>
      <c r="S19" s="2"/>
      <c r="T19" s="2" t="s">
        <v>75</v>
      </c>
      <c r="U19" s="2" t="s">
        <v>68</v>
      </c>
      <c r="V19" s="2"/>
      <c r="W19" s="2"/>
      <c r="X19" s="101"/>
      <c r="Y19" s="3" t="s">
        <v>76</v>
      </c>
      <c r="Z19" s="2"/>
    </row>
    <row r="20" spans="1:26" ht="15" customHeight="1" x14ac:dyDescent="0.2">
      <c r="A20" s="145" t="s">
        <v>77</v>
      </c>
      <c r="B20" s="138"/>
      <c r="C20" s="138"/>
      <c r="D20" s="138"/>
      <c r="E20" s="139"/>
      <c r="F20" s="175" t="s">
        <v>78</v>
      </c>
      <c r="G20" s="138"/>
      <c r="H20" s="138"/>
      <c r="I20" s="138"/>
      <c r="J20" s="138"/>
      <c r="K20" s="138"/>
      <c r="L20" s="141"/>
      <c r="M20" s="2"/>
      <c r="N20" s="2"/>
      <c r="O20" s="5">
        <v>2514</v>
      </c>
      <c r="P20" s="8" t="s">
        <v>79</v>
      </c>
      <c r="Q20" s="7" t="s">
        <v>10</v>
      </c>
      <c r="R20" s="5">
        <v>2514</v>
      </c>
      <c r="S20" s="2"/>
      <c r="T20" s="2" t="s">
        <v>80</v>
      </c>
      <c r="U20" s="2" t="s">
        <v>68</v>
      </c>
      <c r="V20" s="2"/>
      <c r="W20" s="2"/>
      <c r="X20" s="101"/>
      <c r="Y20" s="3" t="s">
        <v>81</v>
      </c>
      <c r="Z20" s="2"/>
    </row>
    <row r="21" spans="1:26" ht="15" customHeight="1" x14ac:dyDescent="0.2">
      <c r="A21" s="19"/>
      <c r="B21" s="19"/>
      <c r="C21" s="19"/>
      <c r="D21" s="19"/>
      <c r="E21" s="19"/>
      <c r="F21" s="19"/>
      <c r="G21" s="19"/>
      <c r="H21" s="19"/>
      <c r="I21" s="19"/>
      <c r="J21" s="19"/>
      <c r="K21" s="19"/>
      <c r="L21" s="19"/>
      <c r="M21" s="2"/>
      <c r="N21" s="2"/>
      <c r="O21" s="5">
        <v>2534</v>
      </c>
      <c r="P21" s="8" t="s">
        <v>82</v>
      </c>
      <c r="Q21" s="7" t="s">
        <v>10</v>
      </c>
      <c r="R21" s="5">
        <v>2534</v>
      </c>
      <c r="S21" s="2"/>
      <c r="T21" s="2" t="s">
        <v>83</v>
      </c>
      <c r="U21" s="2" t="s">
        <v>68</v>
      </c>
      <c r="V21" s="2"/>
      <c r="W21" s="2"/>
      <c r="X21" s="101"/>
      <c r="Y21" s="3" t="s">
        <v>84</v>
      </c>
      <c r="Z21" s="2"/>
    </row>
    <row r="22" spans="1:26" ht="15" customHeight="1" x14ac:dyDescent="0.2">
      <c r="A22" s="146" t="s">
        <v>85</v>
      </c>
      <c r="B22" s="122"/>
      <c r="C22" s="122"/>
      <c r="D22" s="122"/>
      <c r="E22" s="122"/>
      <c r="F22" s="123"/>
      <c r="G22" s="10"/>
      <c r="H22" s="134" t="s">
        <v>86</v>
      </c>
      <c r="I22" s="131"/>
      <c r="J22" s="131"/>
      <c r="K22" s="131"/>
      <c r="L22" s="133"/>
      <c r="M22" s="2"/>
      <c r="N22" s="2"/>
      <c r="O22" s="5">
        <v>2515</v>
      </c>
      <c r="P22" s="8" t="s">
        <v>87</v>
      </c>
      <c r="Q22" s="7" t="s">
        <v>10</v>
      </c>
      <c r="R22" s="5">
        <v>2515</v>
      </c>
      <c r="S22" s="2"/>
      <c r="T22" s="2" t="s">
        <v>88</v>
      </c>
      <c r="U22" s="2" t="s">
        <v>68</v>
      </c>
      <c r="V22" s="2"/>
      <c r="W22" s="2"/>
      <c r="X22" s="101"/>
      <c r="Y22" s="3" t="s">
        <v>89</v>
      </c>
      <c r="Z22" s="2"/>
    </row>
    <row r="23" spans="1:26" ht="15" customHeight="1" x14ac:dyDescent="0.2">
      <c r="A23" s="172" t="s">
        <v>90</v>
      </c>
      <c r="B23" s="122"/>
      <c r="C23" s="123"/>
      <c r="D23" s="172" t="s">
        <v>91</v>
      </c>
      <c r="E23" s="123"/>
      <c r="F23" s="20" t="s">
        <v>92</v>
      </c>
      <c r="G23" s="10"/>
      <c r="H23" s="173" t="s">
        <v>93</v>
      </c>
      <c r="I23" s="161"/>
      <c r="J23" s="161"/>
      <c r="K23" s="161"/>
      <c r="L23" s="174" t="s">
        <v>248</v>
      </c>
      <c r="M23" s="2"/>
      <c r="N23" s="2"/>
      <c r="O23" s="5">
        <v>2524</v>
      </c>
      <c r="P23" s="8" t="s">
        <v>94</v>
      </c>
      <c r="Q23" s="7" t="s">
        <v>10</v>
      </c>
      <c r="R23" s="5">
        <v>2524</v>
      </c>
      <c r="S23" s="2"/>
      <c r="T23" s="2" t="s">
        <v>95</v>
      </c>
      <c r="U23" s="2" t="s">
        <v>68</v>
      </c>
      <c r="V23" s="2"/>
      <c r="W23" s="2"/>
      <c r="X23" s="101"/>
      <c r="Y23" s="3" t="s">
        <v>96</v>
      </c>
      <c r="Z23" s="2"/>
    </row>
    <row r="24" spans="1:26" ht="28.5" customHeight="1" x14ac:dyDescent="0.2">
      <c r="A24" s="21" t="s">
        <v>97</v>
      </c>
      <c r="B24" s="21" t="s">
        <v>98</v>
      </c>
      <c r="C24" s="21" t="s">
        <v>99</v>
      </c>
      <c r="D24" s="21" t="s">
        <v>100</v>
      </c>
      <c r="E24" s="21" t="s">
        <v>101</v>
      </c>
      <c r="F24" s="21" t="s">
        <v>102</v>
      </c>
      <c r="G24" s="22"/>
      <c r="H24" s="163"/>
      <c r="I24" s="109"/>
      <c r="J24" s="109"/>
      <c r="K24" s="109"/>
      <c r="L24" s="110"/>
      <c r="M24" s="1"/>
      <c r="N24" s="1"/>
      <c r="O24" s="5">
        <v>2525</v>
      </c>
      <c r="P24" s="23" t="s">
        <v>103</v>
      </c>
      <c r="Q24" s="24" t="s">
        <v>10</v>
      </c>
      <c r="R24" s="5">
        <v>2525</v>
      </c>
      <c r="S24" s="1"/>
      <c r="T24" s="1" t="s">
        <v>104</v>
      </c>
      <c r="U24" s="1" t="s">
        <v>105</v>
      </c>
      <c r="V24" s="1"/>
      <c r="W24" s="1"/>
      <c r="X24" s="101"/>
      <c r="Y24" s="23" t="s">
        <v>106</v>
      </c>
      <c r="Z24" s="1"/>
    </row>
    <row r="25" spans="1:26" ht="21" customHeight="1" x14ac:dyDescent="0.2">
      <c r="A25" s="25">
        <v>4</v>
      </c>
      <c r="B25" s="26">
        <v>6</v>
      </c>
      <c r="C25" s="27">
        <f>+A25+B25</f>
        <v>10</v>
      </c>
      <c r="D25" s="26">
        <v>16</v>
      </c>
      <c r="E25" s="27">
        <f>+C25*D25</f>
        <v>160</v>
      </c>
      <c r="F25" s="28">
        <f>+E25/48</f>
        <v>3.3333333333333335</v>
      </c>
      <c r="G25" s="10"/>
      <c r="H25" s="169" t="s">
        <v>107</v>
      </c>
      <c r="I25" s="165"/>
      <c r="J25" s="165"/>
      <c r="K25" s="165"/>
      <c r="L25" s="29"/>
      <c r="M25" s="2"/>
      <c r="N25" s="2"/>
      <c r="O25" s="5">
        <v>2527</v>
      </c>
      <c r="P25" s="8" t="s">
        <v>108</v>
      </c>
      <c r="Q25" s="7" t="s">
        <v>10</v>
      </c>
      <c r="R25" s="5">
        <v>2527</v>
      </c>
      <c r="S25" s="2"/>
      <c r="T25" s="2" t="s">
        <v>109</v>
      </c>
      <c r="U25" s="2" t="s">
        <v>105</v>
      </c>
      <c r="V25" s="2"/>
      <c r="W25" s="2"/>
      <c r="X25" s="100"/>
      <c r="Y25" s="3" t="s">
        <v>110</v>
      </c>
      <c r="Z25" s="2"/>
    </row>
    <row r="26" spans="1:26" ht="15" customHeight="1" x14ac:dyDescent="0.2">
      <c r="A26" s="10"/>
      <c r="B26" s="10"/>
      <c r="C26" s="10"/>
      <c r="D26" s="10"/>
      <c r="E26" s="10"/>
      <c r="F26" s="10"/>
      <c r="G26" s="10"/>
      <c r="H26" s="10"/>
      <c r="I26" s="10"/>
      <c r="J26" s="10"/>
      <c r="K26" s="10"/>
      <c r="L26" s="30"/>
      <c r="M26" s="2"/>
      <c r="N26" s="2"/>
      <c r="O26" s="5">
        <v>2528</v>
      </c>
      <c r="P26" s="8" t="s">
        <v>111</v>
      </c>
      <c r="Q26" s="7" t="s">
        <v>10</v>
      </c>
      <c r="R26" s="5">
        <v>2528</v>
      </c>
      <c r="S26" s="2"/>
      <c r="T26" s="2"/>
      <c r="U26" s="2"/>
      <c r="V26" s="2"/>
      <c r="W26" s="2"/>
      <c r="X26" s="102" t="s">
        <v>112</v>
      </c>
      <c r="Y26" s="3" t="s">
        <v>113</v>
      </c>
      <c r="Z26" s="2"/>
    </row>
    <row r="27" spans="1:26" ht="15" customHeight="1" x14ac:dyDescent="0.2">
      <c r="A27" s="134" t="s">
        <v>114</v>
      </c>
      <c r="B27" s="131"/>
      <c r="C27" s="131"/>
      <c r="D27" s="131"/>
      <c r="E27" s="131"/>
      <c r="F27" s="131"/>
      <c r="G27" s="131"/>
      <c r="H27" s="131"/>
      <c r="I27" s="131"/>
      <c r="J27" s="131"/>
      <c r="K27" s="131"/>
      <c r="L27" s="133"/>
      <c r="M27" s="2"/>
      <c r="N27" s="2"/>
      <c r="O27" s="5">
        <v>2530</v>
      </c>
      <c r="P27" s="8" t="s">
        <v>115</v>
      </c>
      <c r="Q27" s="7" t="s">
        <v>10</v>
      </c>
      <c r="R27" s="5">
        <v>2530</v>
      </c>
      <c r="S27" s="2"/>
      <c r="T27" s="2"/>
      <c r="U27" s="2"/>
      <c r="V27" s="2"/>
      <c r="W27" s="2"/>
      <c r="X27" s="101"/>
      <c r="Y27" s="3" t="s">
        <v>116</v>
      </c>
      <c r="Z27" s="2"/>
    </row>
    <row r="28" spans="1:26" ht="30" customHeight="1" x14ac:dyDescent="0.2">
      <c r="A28" s="31">
        <v>80</v>
      </c>
      <c r="B28" s="32" t="s">
        <v>117</v>
      </c>
      <c r="C28" s="170" t="s">
        <v>118</v>
      </c>
      <c r="D28" s="165"/>
      <c r="E28" s="165"/>
      <c r="F28" s="171"/>
      <c r="G28" s="33">
        <f>+A25*D25</f>
        <v>64</v>
      </c>
      <c r="H28" s="170" t="s">
        <v>119</v>
      </c>
      <c r="I28" s="165"/>
      <c r="J28" s="165"/>
      <c r="K28" s="171"/>
      <c r="L28" s="34">
        <f>+A28*G28/100</f>
        <v>51.2</v>
      </c>
      <c r="M28" s="35"/>
      <c r="N28" s="35"/>
      <c r="O28" s="36">
        <v>2516</v>
      </c>
      <c r="P28" s="37" t="s">
        <v>120</v>
      </c>
      <c r="Q28" s="38" t="s">
        <v>10</v>
      </c>
      <c r="R28" s="36">
        <v>2516</v>
      </c>
      <c r="S28" s="35"/>
      <c r="T28" s="35"/>
      <c r="U28" s="35"/>
      <c r="V28" s="35"/>
      <c r="W28" s="35"/>
      <c r="X28" s="100"/>
      <c r="Y28" s="37" t="s">
        <v>121</v>
      </c>
      <c r="Z28" s="35"/>
    </row>
    <row r="29" spans="1:26" ht="15" customHeight="1" x14ac:dyDescent="0.2">
      <c r="A29" s="10"/>
      <c r="B29" s="10"/>
      <c r="C29" s="10"/>
      <c r="D29" s="10"/>
      <c r="E29" s="10"/>
      <c r="F29" s="10"/>
      <c r="G29" s="10"/>
      <c r="H29" s="10"/>
      <c r="I29" s="10"/>
      <c r="J29" s="10"/>
      <c r="K29" s="10"/>
      <c r="L29" s="10"/>
      <c r="M29" s="2"/>
      <c r="N29" s="2"/>
      <c r="O29" s="5">
        <v>2550</v>
      </c>
      <c r="P29" s="8" t="s">
        <v>122</v>
      </c>
      <c r="Q29" s="7" t="s">
        <v>10</v>
      </c>
      <c r="R29" s="5">
        <v>2550</v>
      </c>
      <c r="S29" s="2"/>
      <c r="T29" s="2"/>
      <c r="U29" s="2"/>
      <c r="V29" s="2"/>
      <c r="W29" s="2"/>
      <c r="X29" s="99" t="s">
        <v>123</v>
      </c>
      <c r="Y29" s="3" t="s">
        <v>124</v>
      </c>
      <c r="Z29" s="2"/>
    </row>
    <row r="30" spans="1:26" ht="15" customHeight="1" x14ac:dyDescent="0.2">
      <c r="A30" s="134" t="s">
        <v>125</v>
      </c>
      <c r="B30" s="131"/>
      <c r="C30" s="131"/>
      <c r="D30" s="131"/>
      <c r="E30" s="131"/>
      <c r="F30" s="131"/>
      <c r="G30" s="131"/>
      <c r="H30" s="131"/>
      <c r="I30" s="131"/>
      <c r="J30" s="131"/>
      <c r="K30" s="131"/>
      <c r="L30" s="133"/>
      <c r="M30" s="2"/>
      <c r="N30" s="2"/>
      <c r="O30" s="5">
        <v>2551</v>
      </c>
      <c r="P30" s="8" t="s">
        <v>126</v>
      </c>
      <c r="Q30" s="7" t="s">
        <v>10</v>
      </c>
      <c r="R30" s="5">
        <v>2551</v>
      </c>
      <c r="S30" s="2"/>
      <c r="T30" s="2"/>
      <c r="U30" s="2"/>
      <c r="V30" s="2"/>
      <c r="W30" s="2"/>
      <c r="X30" s="101"/>
      <c r="Y30" s="3" t="s">
        <v>127</v>
      </c>
      <c r="Z30" s="2"/>
    </row>
    <row r="31" spans="1:26" ht="15" customHeight="1" x14ac:dyDescent="0.2">
      <c r="A31" s="39" t="s">
        <v>128</v>
      </c>
      <c r="B31" s="140" t="s">
        <v>129</v>
      </c>
      <c r="C31" s="112"/>
      <c r="D31" s="112"/>
      <c r="E31" s="112"/>
      <c r="F31" s="112"/>
      <c r="G31" s="112"/>
      <c r="H31" s="112"/>
      <c r="I31" s="112"/>
      <c r="J31" s="113"/>
      <c r="K31" s="140" t="s">
        <v>130</v>
      </c>
      <c r="L31" s="115"/>
      <c r="M31" s="2"/>
      <c r="N31" s="2"/>
      <c r="O31" s="5">
        <v>2531</v>
      </c>
      <c r="P31" s="8" t="s">
        <v>131</v>
      </c>
      <c r="Q31" s="7" t="s">
        <v>10</v>
      </c>
      <c r="R31" s="5">
        <v>2531</v>
      </c>
      <c r="S31" s="2"/>
      <c r="T31" s="2" t="s">
        <v>132</v>
      </c>
      <c r="U31" s="2" t="s">
        <v>133</v>
      </c>
      <c r="V31" s="2" t="s">
        <v>134</v>
      </c>
      <c r="W31" s="2"/>
      <c r="X31" s="101"/>
      <c r="Y31" s="3" t="s">
        <v>135</v>
      </c>
      <c r="Z31" s="2"/>
    </row>
    <row r="32" spans="1:26" ht="15" customHeight="1" x14ac:dyDescent="0.2">
      <c r="A32" s="40"/>
      <c r="B32" s="155"/>
      <c r="C32" s="112"/>
      <c r="D32" s="112"/>
      <c r="E32" s="112"/>
      <c r="F32" s="112"/>
      <c r="G32" s="112"/>
      <c r="H32" s="112"/>
      <c r="I32" s="112"/>
      <c r="J32" s="113"/>
      <c r="K32" s="168"/>
      <c r="L32" s="162"/>
      <c r="M32" s="2"/>
      <c r="N32" s="2"/>
      <c r="O32" s="5">
        <v>2517</v>
      </c>
      <c r="P32" s="8" t="s">
        <v>136</v>
      </c>
      <c r="Q32" s="7" t="s">
        <v>10</v>
      </c>
      <c r="R32" s="5">
        <v>2517</v>
      </c>
      <c r="S32" s="2"/>
      <c r="T32" s="2">
        <v>1</v>
      </c>
      <c r="U32" s="2" t="s">
        <v>137</v>
      </c>
      <c r="V32" s="2">
        <v>2011</v>
      </c>
      <c r="W32" s="2"/>
      <c r="X32" s="101"/>
      <c r="Y32" s="3" t="s">
        <v>138</v>
      </c>
      <c r="Z32" s="2"/>
    </row>
    <row r="33" spans="1:26" ht="15" customHeight="1" x14ac:dyDescent="0.2">
      <c r="A33" s="41"/>
      <c r="B33" s="143"/>
      <c r="C33" s="138"/>
      <c r="D33" s="138"/>
      <c r="E33" s="138"/>
      <c r="F33" s="138"/>
      <c r="G33" s="138"/>
      <c r="H33" s="138"/>
      <c r="I33" s="138"/>
      <c r="J33" s="139"/>
      <c r="K33" s="144"/>
      <c r="L33" s="141"/>
      <c r="M33" s="2"/>
      <c r="N33" s="2"/>
      <c r="O33" s="5">
        <v>2543</v>
      </c>
      <c r="P33" s="8" t="s">
        <v>139</v>
      </c>
      <c r="Q33" s="7" t="s">
        <v>10</v>
      </c>
      <c r="R33" s="5">
        <v>2543</v>
      </c>
      <c r="S33" s="2"/>
      <c r="T33" s="2">
        <v>6</v>
      </c>
      <c r="U33" s="2" t="s">
        <v>140</v>
      </c>
      <c r="V33" s="2"/>
      <c r="W33" s="2"/>
      <c r="X33" s="101"/>
      <c r="Y33" s="3" t="s">
        <v>141</v>
      </c>
      <c r="Z33" s="2"/>
    </row>
    <row r="34" spans="1:26" ht="15" customHeight="1" x14ac:dyDescent="0.2">
      <c r="A34" s="42"/>
      <c r="B34" s="42"/>
      <c r="C34" s="42"/>
      <c r="D34" s="42"/>
      <c r="E34" s="42"/>
      <c r="F34" s="42"/>
      <c r="G34" s="42"/>
      <c r="H34" s="42"/>
      <c r="I34" s="42"/>
      <c r="J34" s="42"/>
      <c r="K34" s="42"/>
      <c r="L34" s="42"/>
      <c r="M34" s="2"/>
      <c r="N34" s="2"/>
      <c r="O34" s="5">
        <v>2544</v>
      </c>
      <c r="P34" s="8" t="s">
        <v>142</v>
      </c>
      <c r="Q34" s="7" t="s">
        <v>10</v>
      </c>
      <c r="R34" s="5">
        <v>2544</v>
      </c>
      <c r="S34" s="2"/>
      <c r="T34" s="2">
        <v>7</v>
      </c>
      <c r="U34" s="2" t="s">
        <v>143</v>
      </c>
      <c r="V34" s="2"/>
      <c r="W34" s="2"/>
      <c r="X34" s="101"/>
      <c r="Y34" s="3" t="s">
        <v>144</v>
      </c>
      <c r="Z34" s="2"/>
    </row>
    <row r="35" spans="1:26" ht="15" customHeight="1" x14ac:dyDescent="0.2">
      <c r="A35" s="134" t="s">
        <v>145</v>
      </c>
      <c r="B35" s="131"/>
      <c r="C35" s="131"/>
      <c r="D35" s="131"/>
      <c r="E35" s="131"/>
      <c r="F35" s="131"/>
      <c r="G35" s="131"/>
      <c r="H35" s="131"/>
      <c r="I35" s="131"/>
      <c r="J35" s="131"/>
      <c r="K35" s="131"/>
      <c r="L35" s="133"/>
      <c r="M35" s="2"/>
      <c r="N35" s="2"/>
      <c r="O35" s="5">
        <v>2545</v>
      </c>
      <c r="P35" s="8" t="s">
        <v>146</v>
      </c>
      <c r="Q35" s="7" t="s">
        <v>10</v>
      </c>
      <c r="R35" s="5">
        <v>2545</v>
      </c>
      <c r="S35" s="2"/>
      <c r="T35" s="2">
        <v>8</v>
      </c>
      <c r="U35" s="2" t="s">
        <v>147</v>
      </c>
      <c r="V35" s="2"/>
      <c r="W35" s="2"/>
      <c r="X35" s="101"/>
      <c r="Y35" s="3" t="s">
        <v>148</v>
      </c>
      <c r="Z35" s="2"/>
    </row>
    <row r="36" spans="1:26" ht="28.5" customHeight="1" x14ac:dyDescent="0.2">
      <c r="A36" s="39" t="s">
        <v>149</v>
      </c>
      <c r="B36" s="140" t="s">
        <v>150</v>
      </c>
      <c r="C36" s="112"/>
      <c r="D36" s="113"/>
      <c r="E36" s="43" t="s">
        <v>4</v>
      </c>
      <c r="F36" s="140" t="s">
        <v>151</v>
      </c>
      <c r="G36" s="112"/>
      <c r="H36" s="112"/>
      <c r="I36" s="112"/>
      <c r="J36" s="113"/>
      <c r="K36" s="140" t="s">
        <v>152</v>
      </c>
      <c r="L36" s="115"/>
      <c r="M36" s="2"/>
      <c r="N36" s="2"/>
      <c r="O36" s="5">
        <v>2546</v>
      </c>
      <c r="P36" s="8" t="s">
        <v>153</v>
      </c>
      <c r="Q36" s="7" t="s">
        <v>10</v>
      </c>
      <c r="R36" s="5">
        <v>2546</v>
      </c>
      <c r="S36" s="2"/>
      <c r="T36" s="2">
        <v>9</v>
      </c>
      <c r="U36" s="2" t="s">
        <v>154</v>
      </c>
      <c r="V36" s="2"/>
      <c r="W36" s="2"/>
      <c r="X36" s="101"/>
      <c r="Y36" s="3" t="s">
        <v>155</v>
      </c>
      <c r="Z36" s="2"/>
    </row>
    <row r="37" spans="1:26" ht="15" customHeight="1" x14ac:dyDescent="0.2">
      <c r="A37" s="44"/>
      <c r="B37" s="142"/>
      <c r="C37" s="112"/>
      <c r="D37" s="113"/>
      <c r="E37" s="45"/>
      <c r="F37" s="142"/>
      <c r="G37" s="112"/>
      <c r="H37" s="112"/>
      <c r="I37" s="112"/>
      <c r="J37" s="113"/>
      <c r="K37" s="142"/>
      <c r="L37" s="115"/>
      <c r="M37" s="2"/>
      <c r="N37" s="2"/>
      <c r="O37" s="5">
        <v>2548</v>
      </c>
      <c r="P37" s="8" t="s">
        <v>156</v>
      </c>
      <c r="Q37" s="7" t="s">
        <v>10</v>
      </c>
      <c r="R37" s="5">
        <v>2548</v>
      </c>
      <c r="S37" s="2"/>
      <c r="T37" s="2">
        <v>11</v>
      </c>
      <c r="U37" s="2" t="s">
        <v>157</v>
      </c>
      <c r="V37" s="2"/>
      <c r="W37" s="2"/>
      <c r="X37" s="100"/>
      <c r="Y37" s="3" t="s">
        <v>158</v>
      </c>
      <c r="Z37" s="2"/>
    </row>
    <row r="38" spans="1:26" ht="15" customHeight="1" x14ac:dyDescent="0.2">
      <c r="A38" s="44" t="str">
        <f>+IF(B38=""," ",VLOOKUP(B38,'Formato Asignatura Pregrado'!$P$3:$R$68,3,FALSE))</f>
        <v xml:space="preserve"> </v>
      </c>
      <c r="B38" s="142"/>
      <c r="C38" s="112"/>
      <c r="D38" s="113"/>
      <c r="E38" s="45"/>
      <c r="F38" s="142"/>
      <c r="G38" s="112"/>
      <c r="H38" s="112"/>
      <c r="I38" s="112"/>
      <c r="J38" s="113"/>
      <c r="K38" s="142"/>
      <c r="L38" s="115"/>
      <c r="M38" s="2"/>
      <c r="N38" s="2"/>
      <c r="O38" s="5">
        <v>2512</v>
      </c>
      <c r="P38" s="8" t="s">
        <v>159</v>
      </c>
      <c r="Q38" s="7" t="s">
        <v>10</v>
      </c>
      <c r="R38" s="5">
        <v>2512</v>
      </c>
      <c r="S38" s="2"/>
      <c r="T38" s="2">
        <v>18</v>
      </c>
      <c r="U38" s="2"/>
      <c r="V38" s="2"/>
      <c r="W38" s="2"/>
      <c r="X38" s="18"/>
      <c r="Y38" s="3" t="s">
        <v>160</v>
      </c>
      <c r="Z38" s="2"/>
    </row>
    <row r="39" spans="1:26" ht="15" customHeight="1" x14ac:dyDescent="0.2">
      <c r="A39" s="44" t="str">
        <f>+IF(B39=""," ",VLOOKUP(B39,'Formato Asignatura Pregrado'!$P$3:$R$68,3,FALSE))</f>
        <v xml:space="preserve"> </v>
      </c>
      <c r="B39" s="142"/>
      <c r="C39" s="112"/>
      <c r="D39" s="113"/>
      <c r="E39" s="45"/>
      <c r="F39" s="142"/>
      <c r="G39" s="112"/>
      <c r="H39" s="112"/>
      <c r="I39" s="112"/>
      <c r="J39" s="113"/>
      <c r="K39" s="142"/>
      <c r="L39" s="115"/>
      <c r="M39" s="2"/>
      <c r="N39" s="2"/>
      <c r="O39" s="5">
        <v>2553</v>
      </c>
      <c r="P39" s="8" t="s">
        <v>161</v>
      </c>
      <c r="Q39" s="7" t="s">
        <v>10</v>
      </c>
      <c r="R39" s="5">
        <v>2553</v>
      </c>
      <c r="S39" s="2"/>
      <c r="T39" s="2">
        <v>19</v>
      </c>
      <c r="U39" s="2"/>
      <c r="V39" s="2"/>
      <c r="W39" s="2"/>
      <c r="X39" s="99" t="s">
        <v>162</v>
      </c>
      <c r="Y39" s="3" t="s">
        <v>163</v>
      </c>
      <c r="Z39" s="2"/>
    </row>
    <row r="40" spans="1:26" ht="15" customHeight="1" x14ac:dyDescent="0.2">
      <c r="A40" s="46" t="str">
        <f>+IF(B40=""," ",VLOOKUP(B40,'Formato Asignatura Pregrado'!$P$3:$R$68,3,FALSE))</f>
        <v xml:space="preserve"> </v>
      </c>
      <c r="B40" s="137"/>
      <c r="C40" s="138"/>
      <c r="D40" s="139"/>
      <c r="E40" s="47"/>
      <c r="F40" s="137"/>
      <c r="G40" s="138"/>
      <c r="H40" s="138"/>
      <c r="I40" s="138"/>
      <c r="J40" s="139"/>
      <c r="K40" s="137"/>
      <c r="L40" s="141"/>
      <c r="M40" s="2"/>
      <c r="N40" s="2"/>
      <c r="O40" s="5">
        <v>2557</v>
      </c>
      <c r="P40" s="8" t="s">
        <v>164</v>
      </c>
      <c r="Q40" s="7" t="s">
        <v>10</v>
      </c>
      <c r="R40" s="5">
        <v>2557</v>
      </c>
      <c r="S40" s="2"/>
      <c r="T40" s="2">
        <v>20</v>
      </c>
      <c r="U40" s="2"/>
      <c r="V40" s="2"/>
      <c r="W40" s="2"/>
      <c r="X40" s="100"/>
      <c r="Y40" s="3" t="s">
        <v>165</v>
      </c>
      <c r="Z40" s="2"/>
    </row>
    <row r="41" spans="1:26" ht="13.5" customHeight="1" x14ac:dyDescent="0.2">
      <c r="A41" s="10"/>
      <c r="B41" s="10"/>
      <c r="C41" s="10"/>
      <c r="D41" s="10"/>
      <c r="E41" s="10"/>
      <c r="F41" s="10"/>
      <c r="G41" s="10"/>
      <c r="H41" s="10"/>
      <c r="I41" s="10"/>
      <c r="J41" s="10"/>
      <c r="K41" s="10"/>
      <c r="L41" s="10"/>
      <c r="M41" s="2"/>
      <c r="N41" s="2"/>
      <c r="O41" s="5">
        <v>2535</v>
      </c>
      <c r="P41" s="8" t="s">
        <v>166</v>
      </c>
      <c r="Q41" s="7" t="s">
        <v>10</v>
      </c>
      <c r="R41" s="5">
        <v>2535</v>
      </c>
      <c r="S41" s="2"/>
      <c r="T41" s="2">
        <v>21</v>
      </c>
      <c r="U41" s="2"/>
      <c r="V41" s="2"/>
      <c r="W41" s="2"/>
      <c r="X41" s="99" t="s">
        <v>167</v>
      </c>
      <c r="Y41" s="3" t="s">
        <v>168</v>
      </c>
      <c r="Z41" s="2"/>
    </row>
    <row r="42" spans="1:26" ht="21" customHeight="1" x14ac:dyDescent="0.2">
      <c r="A42" s="156" t="s">
        <v>169</v>
      </c>
      <c r="B42" s="122"/>
      <c r="C42" s="122"/>
      <c r="D42" s="122"/>
      <c r="E42" s="122"/>
      <c r="F42" s="157"/>
      <c r="G42" s="48" t="s">
        <v>170</v>
      </c>
      <c r="H42" s="49"/>
      <c r="I42" s="48" t="s">
        <v>171</v>
      </c>
      <c r="J42" s="49"/>
      <c r="K42" s="76" t="s">
        <v>248</v>
      </c>
      <c r="L42" s="50"/>
      <c r="M42" s="2"/>
      <c r="N42" s="2"/>
      <c r="O42" s="5">
        <v>2519</v>
      </c>
      <c r="P42" s="8" t="s">
        <v>172</v>
      </c>
      <c r="Q42" s="7" t="s">
        <v>10</v>
      </c>
      <c r="R42" s="5">
        <v>2519</v>
      </c>
      <c r="S42" s="2"/>
      <c r="T42" s="2">
        <v>22</v>
      </c>
      <c r="U42" s="2"/>
      <c r="V42" s="2"/>
      <c r="W42" s="2"/>
      <c r="X42" s="101"/>
      <c r="Y42" s="3" t="s">
        <v>173</v>
      </c>
      <c r="Z42" s="2"/>
    </row>
    <row r="43" spans="1:26" ht="15" customHeight="1" x14ac:dyDescent="0.2">
      <c r="A43" s="10"/>
      <c r="B43" s="10"/>
      <c r="C43" s="10"/>
      <c r="D43" s="10"/>
      <c r="E43" s="10"/>
      <c r="F43" s="10"/>
      <c r="G43" s="10"/>
      <c r="H43" s="10"/>
      <c r="I43" s="10"/>
      <c r="J43" s="10"/>
      <c r="K43" s="10"/>
      <c r="L43" s="10"/>
      <c r="M43" s="2"/>
      <c r="N43" s="2"/>
      <c r="O43" s="5">
        <v>2536</v>
      </c>
      <c r="P43" s="8" t="s">
        <v>174</v>
      </c>
      <c r="Q43" s="7" t="s">
        <v>10</v>
      </c>
      <c r="R43" s="5">
        <v>2536</v>
      </c>
      <c r="S43" s="2"/>
      <c r="T43" s="2">
        <v>23</v>
      </c>
      <c r="U43" s="2"/>
      <c r="V43" s="2"/>
      <c r="W43" s="2"/>
      <c r="X43" s="101"/>
      <c r="Y43" s="3" t="s">
        <v>175</v>
      </c>
      <c r="Z43" s="2"/>
    </row>
    <row r="44" spans="1:26" ht="15" customHeight="1" x14ac:dyDescent="0.2">
      <c r="A44" s="167" t="s">
        <v>176</v>
      </c>
      <c r="B44" s="122"/>
      <c r="C44" s="122"/>
      <c r="D44" s="122"/>
      <c r="E44" s="122"/>
      <c r="F44" s="122"/>
      <c r="G44" s="122"/>
      <c r="H44" s="122"/>
      <c r="I44" s="122"/>
      <c r="J44" s="122"/>
      <c r="K44" s="122"/>
      <c r="L44" s="123"/>
      <c r="M44" s="2"/>
      <c r="N44" s="2"/>
      <c r="O44" s="5">
        <v>2554</v>
      </c>
      <c r="P44" s="8" t="s">
        <v>177</v>
      </c>
      <c r="Q44" s="7" t="s">
        <v>10</v>
      </c>
      <c r="R44" s="5">
        <v>2554</v>
      </c>
      <c r="S44" s="2"/>
      <c r="T44" s="2">
        <v>24</v>
      </c>
      <c r="U44" s="2"/>
      <c r="V44" s="2"/>
      <c r="W44" s="2"/>
      <c r="X44" s="101"/>
      <c r="Y44" s="3" t="s">
        <v>178</v>
      </c>
      <c r="Z44" s="2"/>
    </row>
    <row r="45" spans="1:26" ht="15" customHeight="1" x14ac:dyDescent="0.2">
      <c r="A45" s="10"/>
      <c r="B45" s="10"/>
      <c r="C45" s="10"/>
      <c r="D45" s="10"/>
      <c r="E45" s="10"/>
      <c r="F45" s="10"/>
      <c r="G45" s="10"/>
      <c r="H45" s="10"/>
      <c r="I45" s="10"/>
      <c r="J45" s="10"/>
      <c r="K45" s="10"/>
      <c r="L45" s="10"/>
      <c r="M45" s="2"/>
      <c r="N45" s="2"/>
      <c r="O45" s="5">
        <v>2537</v>
      </c>
      <c r="P45" s="8" t="s">
        <v>179</v>
      </c>
      <c r="Q45" s="7" t="s">
        <v>10</v>
      </c>
      <c r="R45" s="5">
        <v>2537</v>
      </c>
      <c r="S45" s="2"/>
      <c r="T45" s="2">
        <v>25</v>
      </c>
      <c r="U45" s="2"/>
      <c r="V45" s="2"/>
      <c r="W45" s="2"/>
      <c r="X45" s="100"/>
      <c r="Y45" s="3" t="s">
        <v>180</v>
      </c>
      <c r="Z45" s="2"/>
    </row>
    <row r="46" spans="1:26" ht="15" customHeight="1" x14ac:dyDescent="0.2">
      <c r="A46" s="134" t="s">
        <v>181</v>
      </c>
      <c r="B46" s="131"/>
      <c r="C46" s="131"/>
      <c r="D46" s="131"/>
      <c r="E46" s="131"/>
      <c r="F46" s="131"/>
      <c r="G46" s="131"/>
      <c r="H46" s="131"/>
      <c r="I46" s="131"/>
      <c r="J46" s="131"/>
      <c r="K46" s="131"/>
      <c r="L46" s="133"/>
      <c r="M46" s="2"/>
      <c r="N46" s="2"/>
      <c r="O46" s="51">
        <v>2556</v>
      </c>
      <c r="P46" s="52" t="s">
        <v>182</v>
      </c>
      <c r="Q46" s="53" t="s">
        <v>10</v>
      </c>
      <c r="R46" s="51">
        <v>2556</v>
      </c>
      <c r="S46" s="2"/>
      <c r="T46" s="2">
        <v>26</v>
      </c>
      <c r="U46" s="2"/>
      <c r="V46" s="2"/>
      <c r="W46" s="2"/>
      <c r="X46" s="148" t="s">
        <v>183</v>
      </c>
      <c r="Y46" s="3" t="s">
        <v>184</v>
      </c>
      <c r="Z46" s="2"/>
    </row>
    <row r="47" spans="1:26" ht="15" customHeight="1" x14ac:dyDescent="0.2">
      <c r="A47" s="176" t="s">
        <v>249</v>
      </c>
      <c r="B47" s="161"/>
      <c r="C47" s="161"/>
      <c r="D47" s="161"/>
      <c r="E47" s="161"/>
      <c r="F47" s="161"/>
      <c r="G47" s="161"/>
      <c r="H47" s="161"/>
      <c r="I47" s="161"/>
      <c r="J47" s="161"/>
      <c r="K47" s="161"/>
      <c r="L47" s="162"/>
      <c r="M47" s="2"/>
      <c r="N47" s="2"/>
      <c r="O47" s="54">
        <v>4026</v>
      </c>
      <c r="P47" s="55" t="s">
        <v>185</v>
      </c>
      <c r="Q47" s="56" t="s">
        <v>61</v>
      </c>
      <c r="R47" s="54">
        <v>4026</v>
      </c>
      <c r="S47" s="2"/>
      <c r="T47" s="2">
        <v>27</v>
      </c>
      <c r="U47" s="2"/>
      <c r="V47" s="2"/>
      <c r="W47" s="2"/>
      <c r="X47" s="101"/>
      <c r="Y47" s="3" t="s">
        <v>186</v>
      </c>
      <c r="Z47" s="2"/>
    </row>
    <row r="48" spans="1:26" ht="15" customHeight="1" x14ac:dyDescent="0.2">
      <c r="A48" s="163"/>
      <c r="B48" s="109"/>
      <c r="C48" s="109"/>
      <c r="D48" s="109"/>
      <c r="E48" s="109"/>
      <c r="F48" s="109"/>
      <c r="G48" s="109"/>
      <c r="H48" s="109"/>
      <c r="I48" s="109"/>
      <c r="J48" s="109"/>
      <c r="K48" s="109"/>
      <c r="L48" s="110"/>
      <c r="M48" s="2"/>
      <c r="N48" s="2"/>
      <c r="O48" s="5">
        <v>4027</v>
      </c>
      <c r="P48" s="55" t="s">
        <v>187</v>
      </c>
      <c r="Q48" s="56" t="s">
        <v>61</v>
      </c>
      <c r="R48" s="5">
        <v>4027</v>
      </c>
      <c r="S48" s="2"/>
      <c r="T48" s="2">
        <v>28</v>
      </c>
      <c r="U48" s="2"/>
      <c r="V48" s="2"/>
      <c r="W48" s="2"/>
      <c r="X48" s="101"/>
      <c r="Y48" s="3" t="s">
        <v>188</v>
      </c>
      <c r="Z48" s="2"/>
    </row>
    <row r="49" spans="1:26" ht="15" customHeight="1" x14ac:dyDescent="0.2">
      <c r="A49" s="163"/>
      <c r="B49" s="109"/>
      <c r="C49" s="109"/>
      <c r="D49" s="109"/>
      <c r="E49" s="109"/>
      <c r="F49" s="109"/>
      <c r="G49" s="109"/>
      <c r="H49" s="109"/>
      <c r="I49" s="109"/>
      <c r="J49" s="109"/>
      <c r="K49" s="109"/>
      <c r="L49" s="110"/>
      <c r="M49" s="2"/>
      <c r="N49" s="2"/>
      <c r="O49" s="5">
        <v>4029</v>
      </c>
      <c r="P49" s="8" t="s">
        <v>189</v>
      </c>
      <c r="Q49" s="7" t="s">
        <v>61</v>
      </c>
      <c r="R49" s="5">
        <v>4029</v>
      </c>
      <c r="S49" s="2"/>
      <c r="T49" s="2">
        <v>29</v>
      </c>
      <c r="U49" s="2"/>
      <c r="V49" s="2"/>
      <c r="W49" s="2"/>
      <c r="X49" s="101"/>
      <c r="Y49" s="3" t="s">
        <v>190</v>
      </c>
      <c r="Z49" s="2"/>
    </row>
    <row r="50" spans="1:26" ht="15" customHeight="1" x14ac:dyDescent="0.2">
      <c r="A50" s="163"/>
      <c r="B50" s="109"/>
      <c r="C50" s="109"/>
      <c r="D50" s="109"/>
      <c r="E50" s="109"/>
      <c r="F50" s="109"/>
      <c r="G50" s="109"/>
      <c r="H50" s="109"/>
      <c r="I50" s="109"/>
      <c r="J50" s="109"/>
      <c r="K50" s="109"/>
      <c r="L50" s="110"/>
      <c r="M50" s="2"/>
      <c r="N50" s="2"/>
      <c r="O50" s="5">
        <v>4025</v>
      </c>
      <c r="P50" s="8" t="s">
        <v>191</v>
      </c>
      <c r="Q50" s="7" t="s">
        <v>61</v>
      </c>
      <c r="R50" s="5">
        <v>4025</v>
      </c>
      <c r="S50" s="2"/>
      <c r="T50" s="2">
        <v>30</v>
      </c>
      <c r="U50" s="2"/>
      <c r="V50" s="2"/>
      <c r="W50" s="2"/>
      <c r="X50" s="101"/>
      <c r="Y50" s="3" t="s">
        <v>192</v>
      </c>
      <c r="Z50" s="2"/>
    </row>
    <row r="51" spans="1:26" ht="15" customHeight="1" x14ac:dyDescent="0.2">
      <c r="A51" s="163"/>
      <c r="B51" s="109"/>
      <c r="C51" s="109"/>
      <c r="D51" s="109"/>
      <c r="E51" s="109"/>
      <c r="F51" s="109"/>
      <c r="G51" s="109"/>
      <c r="H51" s="109"/>
      <c r="I51" s="109"/>
      <c r="J51" s="109"/>
      <c r="K51" s="109"/>
      <c r="L51" s="110"/>
      <c r="M51" s="2"/>
      <c r="N51" s="2"/>
      <c r="O51" s="5">
        <v>4031</v>
      </c>
      <c r="P51" s="8" t="s">
        <v>193</v>
      </c>
      <c r="Q51" s="7" t="s">
        <v>61</v>
      </c>
      <c r="R51" s="5">
        <v>4031</v>
      </c>
      <c r="S51" s="2"/>
      <c r="T51" s="2">
        <v>31</v>
      </c>
      <c r="U51" s="2"/>
      <c r="V51" s="2"/>
      <c r="W51" s="2"/>
      <c r="X51" s="101"/>
      <c r="Y51" s="3" t="s">
        <v>194</v>
      </c>
      <c r="Z51" s="2"/>
    </row>
    <row r="52" spans="1:26" ht="15" customHeight="1" x14ac:dyDescent="0.2">
      <c r="A52" s="163"/>
      <c r="B52" s="109"/>
      <c r="C52" s="109"/>
      <c r="D52" s="109"/>
      <c r="E52" s="109"/>
      <c r="F52" s="109"/>
      <c r="G52" s="109"/>
      <c r="H52" s="109"/>
      <c r="I52" s="109"/>
      <c r="J52" s="109"/>
      <c r="K52" s="109"/>
      <c r="L52" s="110"/>
      <c r="M52" s="2"/>
      <c r="N52" s="2"/>
      <c r="O52" s="5">
        <v>4033</v>
      </c>
      <c r="P52" s="8" t="s">
        <v>195</v>
      </c>
      <c r="Q52" s="7" t="s">
        <v>61</v>
      </c>
      <c r="R52" s="5">
        <v>4033</v>
      </c>
      <c r="S52" s="2"/>
      <c r="T52" s="2"/>
      <c r="U52" s="2"/>
      <c r="V52" s="2"/>
      <c r="W52" s="2"/>
      <c r="X52" s="101"/>
      <c r="Y52" s="3" t="s">
        <v>196</v>
      </c>
      <c r="Z52" s="2"/>
    </row>
    <row r="53" spans="1:26" ht="15" customHeight="1" x14ac:dyDescent="0.2">
      <c r="A53" s="164"/>
      <c r="B53" s="165"/>
      <c r="C53" s="165"/>
      <c r="D53" s="165"/>
      <c r="E53" s="165"/>
      <c r="F53" s="165"/>
      <c r="G53" s="165"/>
      <c r="H53" s="165"/>
      <c r="I53" s="165"/>
      <c r="J53" s="165"/>
      <c r="K53" s="165"/>
      <c r="L53" s="166"/>
      <c r="M53" s="2"/>
      <c r="N53" s="2"/>
      <c r="O53" s="5">
        <v>4021</v>
      </c>
      <c r="P53" s="8" t="s">
        <v>197</v>
      </c>
      <c r="Q53" s="7" t="s">
        <v>61</v>
      </c>
      <c r="R53" s="5">
        <v>4021</v>
      </c>
      <c r="S53" s="2"/>
      <c r="T53" s="2"/>
      <c r="U53" s="2"/>
      <c r="V53" s="2"/>
      <c r="W53" s="2"/>
      <c r="X53" s="101"/>
      <c r="Y53" s="3" t="s">
        <v>198</v>
      </c>
      <c r="Z53" s="2"/>
    </row>
    <row r="54" spans="1:26" ht="15" customHeight="1" x14ac:dyDescent="0.2">
      <c r="A54" s="10"/>
      <c r="B54" s="10"/>
      <c r="C54" s="10"/>
      <c r="D54" s="10"/>
      <c r="E54" s="10"/>
      <c r="F54" s="10"/>
      <c r="G54" s="10"/>
      <c r="H54" s="10"/>
      <c r="I54" s="10"/>
      <c r="J54" s="10"/>
      <c r="K54" s="10"/>
      <c r="L54" s="10"/>
      <c r="M54" s="2"/>
      <c r="N54" s="2"/>
      <c r="O54" s="5">
        <v>4022</v>
      </c>
      <c r="P54" s="8" t="s">
        <v>199</v>
      </c>
      <c r="Q54" s="7" t="s">
        <v>61</v>
      </c>
      <c r="R54" s="5">
        <v>4022</v>
      </c>
      <c r="S54" s="2"/>
      <c r="T54" s="2"/>
      <c r="U54" s="2" t="s">
        <v>200</v>
      </c>
      <c r="V54" s="2"/>
      <c r="W54" s="2"/>
      <c r="X54" s="101"/>
      <c r="Y54" s="3" t="s">
        <v>201</v>
      </c>
      <c r="Z54" s="2"/>
    </row>
    <row r="55" spans="1:26" ht="15" customHeight="1" x14ac:dyDescent="0.2">
      <c r="A55" s="134" t="s">
        <v>202</v>
      </c>
      <c r="B55" s="131"/>
      <c r="C55" s="131"/>
      <c r="D55" s="131"/>
      <c r="E55" s="131"/>
      <c r="F55" s="131"/>
      <c r="G55" s="131"/>
      <c r="H55" s="131"/>
      <c r="I55" s="131"/>
      <c r="J55" s="131"/>
      <c r="K55" s="131"/>
      <c r="L55" s="133"/>
      <c r="M55" s="2"/>
      <c r="N55" s="2"/>
      <c r="O55" s="5">
        <v>4028</v>
      </c>
      <c r="P55" s="8" t="s">
        <v>203</v>
      </c>
      <c r="Q55" s="7" t="s">
        <v>61</v>
      </c>
      <c r="R55" s="5">
        <v>4028</v>
      </c>
      <c r="S55" s="2"/>
      <c r="T55" s="2"/>
      <c r="U55" s="2" t="s">
        <v>204</v>
      </c>
      <c r="V55" s="2"/>
      <c r="W55" s="2"/>
      <c r="X55" s="101"/>
      <c r="Y55" s="3" t="s">
        <v>205</v>
      </c>
      <c r="Z55" s="2"/>
    </row>
    <row r="56" spans="1:26" ht="15" customHeight="1" x14ac:dyDescent="0.2">
      <c r="A56" s="158" t="s">
        <v>206</v>
      </c>
      <c r="B56" s="112"/>
      <c r="C56" s="112"/>
      <c r="D56" s="112"/>
      <c r="E56" s="113"/>
      <c r="F56" s="159" t="s">
        <v>207</v>
      </c>
      <c r="G56" s="112"/>
      <c r="H56" s="112"/>
      <c r="I56" s="112"/>
      <c r="J56" s="112"/>
      <c r="K56" s="112"/>
      <c r="L56" s="115"/>
      <c r="M56" s="57"/>
      <c r="N56" s="57"/>
      <c r="O56" s="5">
        <v>4030</v>
      </c>
      <c r="P56" s="8" t="s">
        <v>208</v>
      </c>
      <c r="Q56" s="7" t="s">
        <v>61</v>
      </c>
      <c r="R56" s="5">
        <v>4030</v>
      </c>
      <c r="S56" s="2"/>
      <c r="T56" s="2"/>
      <c r="U56" s="2"/>
      <c r="V56" s="2"/>
      <c r="W56" s="2"/>
      <c r="X56" s="101"/>
      <c r="Y56" s="3" t="s">
        <v>209</v>
      </c>
      <c r="Z56" s="57"/>
    </row>
    <row r="57" spans="1:26" ht="30" customHeight="1" thickBot="1" x14ac:dyDescent="0.25">
      <c r="A57" s="136" t="s">
        <v>210</v>
      </c>
      <c r="B57" s="112"/>
      <c r="C57" s="112"/>
      <c r="D57" s="112"/>
      <c r="E57" s="113"/>
      <c r="F57" s="155" t="s">
        <v>211</v>
      </c>
      <c r="G57" s="112"/>
      <c r="H57" s="112"/>
      <c r="I57" s="112"/>
      <c r="J57" s="112"/>
      <c r="K57" s="112"/>
      <c r="L57" s="115"/>
      <c r="M57" s="2"/>
      <c r="N57" s="2"/>
      <c r="O57" s="5">
        <v>4024</v>
      </c>
      <c r="P57" s="8" t="s">
        <v>212</v>
      </c>
      <c r="Q57" s="7" t="s">
        <v>61</v>
      </c>
      <c r="R57" s="5">
        <v>4024</v>
      </c>
      <c r="S57" s="2"/>
      <c r="T57" s="2"/>
      <c r="U57" s="2"/>
      <c r="V57" s="2"/>
      <c r="W57" s="2"/>
      <c r="X57" s="101"/>
      <c r="Y57" s="3" t="s">
        <v>213</v>
      </c>
      <c r="Z57" s="2"/>
    </row>
    <row r="58" spans="1:26" ht="70" customHeight="1" x14ac:dyDescent="0.2">
      <c r="A58" s="103" t="s">
        <v>250</v>
      </c>
      <c r="B58" s="104"/>
      <c r="C58" s="104"/>
      <c r="D58" s="104"/>
      <c r="E58" s="105"/>
      <c r="F58" s="177" t="s">
        <v>263</v>
      </c>
      <c r="G58" s="106"/>
      <c r="H58" s="106"/>
      <c r="I58" s="106"/>
      <c r="J58" s="106"/>
      <c r="K58" s="106"/>
      <c r="L58" s="107"/>
      <c r="M58" s="2"/>
      <c r="N58" s="2"/>
      <c r="O58" s="5">
        <v>4023</v>
      </c>
      <c r="P58" s="8" t="s">
        <v>214</v>
      </c>
      <c r="Q58" s="7" t="s">
        <v>61</v>
      </c>
      <c r="R58" s="5">
        <v>4023</v>
      </c>
      <c r="S58" s="2"/>
      <c r="T58" s="2"/>
      <c r="U58" s="2"/>
      <c r="V58" s="2"/>
      <c r="W58" s="2"/>
      <c r="X58" s="101"/>
      <c r="Y58" s="3" t="s">
        <v>215</v>
      </c>
      <c r="Z58" s="2"/>
    </row>
    <row r="59" spans="1:26" ht="15" customHeight="1" x14ac:dyDescent="0.2">
      <c r="A59" s="77"/>
      <c r="B59" s="70"/>
      <c r="C59" s="70"/>
      <c r="D59" s="70"/>
      <c r="E59" s="70"/>
      <c r="F59" s="78"/>
      <c r="G59" s="78"/>
      <c r="H59" s="78"/>
      <c r="I59" s="78"/>
      <c r="J59" s="78"/>
      <c r="K59" s="78"/>
      <c r="L59" s="74"/>
      <c r="M59" s="2"/>
      <c r="N59" s="2"/>
      <c r="O59" s="5">
        <v>3512</v>
      </c>
      <c r="P59" s="8" t="s">
        <v>216</v>
      </c>
      <c r="Q59" s="7" t="s">
        <v>68</v>
      </c>
      <c r="R59" s="5">
        <v>3512</v>
      </c>
      <c r="S59" s="2"/>
      <c r="T59" s="2"/>
      <c r="U59" s="2"/>
      <c r="V59" s="2"/>
      <c r="W59" s="2"/>
      <c r="X59" s="101"/>
      <c r="Y59" s="3" t="s">
        <v>217</v>
      </c>
      <c r="Z59" s="2"/>
    </row>
    <row r="60" spans="1:26" ht="53" customHeight="1" x14ac:dyDescent="0.2">
      <c r="A60" s="90" t="s">
        <v>255</v>
      </c>
      <c r="B60" s="88"/>
      <c r="C60" s="88"/>
      <c r="D60" s="88"/>
      <c r="E60" s="89"/>
      <c r="F60" s="82" t="s">
        <v>264</v>
      </c>
      <c r="G60" s="83"/>
      <c r="H60" s="83"/>
      <c r="I60" s="83"/>
      <c r="J60" s="83"/>
      <c r="K60" s="83"/>
      <c r="L60" s="91"/>
      <c r="M60" s="2"/>
      <c r="N60" s="2"/>
      <c r="O60" s="5">
        <v>3503</v>
      </c>
      <c r="P60" s="8" t="s">
        <v>218</v>
      </c>
      <c r="Q60" s="7" t="s">
        <v>68</v>
      </c>
      <c r="R60" s="5">
        <v>3503</v>
      </c>
      <c r="S60" s="2"/>
      <c r="T60" s="2"/>
      <c r="U60" s="2"/>
      <c r="V60" s="2"/>
      <c r="W60" s="2"/>
      <c r="X60" s="101"/>
      <c r="Y60" s="3" t="s">
        <v>219</v>
      </c>
      <c r="Z60" s="2"/>
    </row>
    <row r="61" spans="1:26" ht="15" customHeight="1" x14ac:dyDescent="0.2">
      <c r="A61" s="77"/>
      <c r="B61" s="70"/>
      <c r="C61" s="70"/>
      <c r="D61" s="70"/>
      <c r="E61" s="70"/>
      <c r="F61" s="78"/>
      <c r="G61" s="78"/>
      <c r="H61" s="78"/>
      <c r="I61" s="78"/>
      <c r="J61" s="78"/>
      <c r="K61" s="78"/>
      <c r="L61" s="74"/>
      <c r="M61" s="2"/>
      <c r="N61" s="2"/>
      <c r="O61" s="5">
        <v>3515</v>
      </c>
      <c r="P61" s="8" t="s">
        <v>220</v>
      </c>
      <c r="Q61" s="7" t="s">
        <v>68</v>
      </c>
      <c r="R61" s="5">
        <v>3515</v>
      </c>
      <c r="S61" s="2"/>
      <c r="T61" s="2"/>
      <c r="U61" s="2"/>
      <c r="V61" s="2"/>
      <c r="W61" s="2"/>
      <c r="X61" s="101"/>
      <c r="Y61" s="3" t="s">
        <v>221</v>
      </c>
      <c r="Z61" s="2"/>
    </row>
    <row r="62" spans="1:26" ht="64" customHeight="1" x14ac:dyDescent="0.2">
      <c r="A62" s="90" t="s">
        <v>251</v>
      </c>
      <c r="B62" s="88"/>
      <c r="C62" s="88"/>
      <c r="D62" s="88"/>
      <c r="E62" s="89"/>
      <c r="F62" s="92" t="s">
        <v>265</v>
      </c>
      <c r="G62" s="83"/>
      <c r="H62" s="83"/>
      <c r="I62" s="83"/>
      <c r="J62" s="83"/>
      <c r="K62" s="83"/>
      <c r="L62" s="84"/>
      <c r="M62" s="2"/>
      <c r="N62" s="2"/>
      <c r="O62" s="5">
        <v>3508</v>
      </c>
      <c r="P62" s="8" t="s">
        <v>222</v>
      </c>
      <c r="Q62" s="7" t="s">
        <v>68</v>
      </c>
      <c r="R62" s="5">
        <v>3508</v>
      </c>
      <c r="S62" s="2"/>
      <c r="T62" s="2"/>
      <c r="U62" s="2"/>
      <c r="V62" s="2"/>
      <c r="W62" s="2"/>
      <c r="X62" s="100"/>
      <c r="Y62" s="3" t="s">
        <v>223</v>
      </c>
      <c r="Z62" s="2"/>
    </row>
    <row r="63" spans="1:26" ht="21" customHeight="1" x14ac:dyDescent="0.2">
      <c r="A63" s="77"/>
      <c r="B63" s="70"/>
      <c r="C63" s="70"/>
      <c r="D63" s="70"/>
      <c r="E63" s="70"/>
      <c r="F63" s="78"/>
      <c r="G63" s="78"/>
      <c r="H63" s="78"/>
      <c r="I63" s="78"/>
      <c r="J63" s="78"/>
      <c r="K63" s="78"/>
      <c r="L63" s="74"/>
      <c r="M63" s="2"/>
      <c r="N63" s="2"/>
      <c r="O63" s="5">
        <v>3516</v>
      </c>
      <c r="P63" s="8" t="s">
        <v>224</v>
      </c>
      <c r="Q63" s="7" t="s">
        <v>68</v>
      </c>
      <c r="R63" s="5">
        <v>3516</v>
      </c>
      <c r="S63" s="2"/>
      <c r="T63" s="2"/>
      <c r="U63" s="2"/>
      <c r="V63" s="2"/>
      <c r="W63" s="2"/>
      <c r="X63" s="148"/>
      <c r="Y63" s="58" t="s">
        <v>225</v>
      </c>
      <c r="Z63" s="2"/>
    </row>
    <row r="64" spans="1:26" ht="66" customHeight="1" x14ac:dyDescent="0.2">
      <c r="A64" s="90" t="s">
        <v>256</v>
      </c>
      <c r="B64" s="88"/>
      <c r="C64" s="88"/>
      <c r="D64" s="88"/>
      <c r="E64" s="89"/>
      <c r="F64" s="92" t="s">
        <v>266</v>
      </c>
      <c r="G64" s="83"/>
      <c r="H64" s="83"/>
      <c r="I64" s="83"/>
      <c r="J64" s="83"/>
      <c r="K64" s="83"/>
      <c r="L64" s="84"/>
      <c r="M64" s="2"/>
      <c r="N64" s="2"/>
      <c r="O64" s="5">
        <v>3517</v>
      </c>
      <c r="P64" s="8" t="s">
        <v>226</v>
      </c>
      <c r="Q64" s="7" t="s">
        <v>68</v>
      </c>
      <c r="R64" s="5">
        <v>3517</v>
      </c>
      <c r="S64" s="2"/>
      <c r="T64" s="2"/>
      <c r="U64" s="2"/>
      <c r="V64" s="2"/>
      <c r="W64" s="2"/>
      <c r="X64" s="100"/>
      <c r="Y64" s="59" t="s">
        <v>227</v>
      </c>
      <c r="Z64" s="2"/>
    </row>
    <row r="65" spans="1:26" ht="15" customHeight="1" x14ac:dyDescent="0.2">
      <c r="A65" s="77"/>
      <c r="B65" s="70"/>
      <c r="C65" s="70"/>
      <c r="D65" s="70"/>
      <c r="E65" s="70"/>
      <c r="F65" s="78"/>
      <c r="G65" s="78"/>
      <c r="H65" s="78"/>
      <c r="I65" s="78"/>
      <c r="J65" s="78"/>
      <c r="K65" s="78"/>
      <c r="L65" s="74"/>
      <c r="M65" s="2"/>
      <c r="N65" s="2"/>
      <c r="O65" s="5">
        <v>3521</v>
      </c>
      <c r="P65" s="8" t="s">
        <v>228</v>
      </c>
      <c r="Q65" s="7" t="s">
        <v>68</v>
      </c>
      <c r="R65" s="5">
        <v>3521</v>
      </c>
      <c r="S65" s="2"/>
      <c r="T65" s="2"/>
      <c r="U65" s="2"/>
      <c r="V65" s="2"/>
      <c r="W65" s="2"/>
      <c r="X65" s="147" t="s">
        <v>229</v>
      </c>
      <c r="Y65" s="3" t="s">
        <v>230</v>
      </c>
      <c r="Z65" s="2"/>
    </row>
    <row r="66" spans="1:26" ht="61" customHeight="1" x14ac:dyDescent="0.2">
      <c r="A66" s="90" t="s">
        <v>252</v>
      </c>
      <c r="B66" s="88"/>
      <c r="C66" s="88"/>
      <c r="D66" s="88"/>
      <c r="E66" s="89"/>
      <c r="F66" s="92" t="s">
        <v>267</v>
      </c>
      <c r="G66" s="83"/>
      <c r="H66" s="83"/>
      <c r="I66" s="83"/>
      <c r="J66" s="83"/>
      <c r="K66" s="83"/>
      <c r="L66" s="84"/>
      <c r="M66" s="2"/>
      <c r="N66" s="2"/>
      <c r="O66" s="5">
        <v>3506</v>
      </c>
      <c r="P66" s="8" t="s">
        <v>231</v>
      </c>
      <c r="Q66" s="7" t="s">
        <v>68</v>
      </c>
      <c r="R66" s="5">
        <v>3506</v>
      </c>
      <c r="S66" s="2"/>
      <c r="T66" s="2"/>
      <c r="U66" s="2"/>
      <c r="V66" s="2"/>
      <c r="W66" s="2"/>
      <c r="X66" s="100"/>
      <c r="Y66" s="3" t="s">
        <v>232</v>
      </c>
      <c r="Z66" s="2"/>
    </row>
    <row r="67" spans="1:26" ht="15" customHeight="1" x14ac:dyDescent="0.2">
      <c r="A67" s="77"/>
      <c r="B67" s="70"/>
      <c r="C67" s="70"/>
      <c r="D67" s="70"/>
      <c r="E67" s="70"/>
      <c r="F67" s="78"/>
      <c r="G67" s="78"/>
      <c r="H67" s="78"/>
      <c r="I67" s="78"/>
      <c r="J67" s="78"/>
      <c r="K67" s="78"/>
      <c r="L67" s="74"/>
      <c r="M67" s="2"/>
      <c r="N67" s="2"/>
      <c r="O67" s="5">
        <v>3524</v>
      </c>
      <c r="P67" s="8" t="s">
        <v>233</v>
      </c>
      <c r="Q67" s="7" t="s">
        <v>68</v>
      </c>
      <c r="R67" s="5">
        <v>3524</v>
      </c>
      <c r="S67" s="2"/>
      <c r="T67" s="2"/>
      <c r="U67" s="2"/>
      <c r="V67" s="2"/>
      <c r="W67" s="2"/>
      <c r="X67" s="101"/>
      <c r="Y67" s="3" t="s">
        <v>234</v>
      </c>
      <c r="Z67" s="2"/>
    </row>
    <row r="68" spans="1:26" ht="59" customHeight="1" x14ac:dyDescent="0.2">
      <c r="A68" s="90" t="s">
        <v>253</v>
      </c>
      <c r="B68" s="88"/>
      <c r="C68" s="88"/>
      <c r="D68" s="88"/>
      <c r="E68" s="89"/>
      <c r="F68" s="92" t="s">
        <v>268</v>
      </c>
      <c r="G68" s="83"/>
      <c r="H68" s="83"/>
      <c r="I68" s="83"/>
      <c r="J68" s="83"/>
      <c r="K68" s="83"/>
      <c r="L68" s="84"/>
      <c r="M68" s="2"/>
      <c r="N68" s="2"/>
      <c r="O68" s="60">
        <v>3525</v>
      </c>
      <c r="P68" s="61" t="s">
        <v>235</v>
      </c>
      <c r="Q68" s="62" t="s">
        <v>68</v>
      </c>
      <c r="R68" s="60">
        <v>3525</v>
      </c>
      <c r="S68" s="2"/>
      <c r="T68" s="2"/>
      <c r="U68" s="2"/>
      <c r="V68" s="2"/>
      <c r="W68" s="2"/>
      <c r="X68" s="100"/>
      <c r="Y68" s="63" t="s">
        <v>236</v>
      </c>
      <c r="Z68" s="2"/>
    </row>
    <row r="69" spans="1:26" ht="15" customHeight="1" x14ac:dyDescent="0.2">
      <c r="A69" s="77"/>
      <c r="B69" s="70"/>
      <c r="C69" s="70"/>
      <c r="D69" s="70"/>
      <c r="E69" s="70"/>
      <c r="F69" s="78"/>
      <c r="G69" s="78"/>
      <c r="H69" s="78"/>
      <c r="I69" s="78"/>
      <c r="J69" s="78"/>
      <c r="K69" s="78"/>
      <c r="L69" s="74"/>
      <c r="M69" s="64"/>
      <c r="N69" s="64"/>
      <c r="Z69" s="64"/>
    </row>
    <row r="70" spans="1:26" ht="59" customHeight="1" x14ac:dyDescent="0.2">
      <c r="A70" s="90" t="s">
        <v>254</v>
      </c>
      <c r="B70" s="88"/>
      <c r="C70" s="88"/>
      <c r="D70" s="88"/>
      <c r="E70" s="89"/>
      <c r="F70" s="92" t="s">
        <v>269</v>
      </c>
      <c r="G70" s="83"/>
      <c r="H70" s="83"/>
      <c r="I70" s="83"/>
      <c r="J70" s="83"/>
      <c r="K70" s="83"/>
      <c r="L70" s="84"/>
      <c r="M70" s="64"/>
      <c r="N70" s="64"/>
      <c r="Z70" s="64"/>
    </row>
    <row r="71" spans="1:26" ht="15" customHeight="1" x14ac:dyDescent="0.2">
      <c r="A71" s="77"/>
      <c r="B71" s="70"/>
      <c r="C71" s="70"/>
      <c r="D71" s="70"/>
      <c r="E71" s="70"/>
      <c r="F71" s="78"/>
      <c r="G71" s="78"/>
      <c r="H71" s="78"/>
      <c r="I71" s="78"/>
      <c r="J71" s="78"/>
      <c r="K71" s="78"/>
      <c r="L71" s="74"/>
      <c r="M71" s="64"/>
      <c r="N71" s="64"/>
      <c r="Z71" s="64"/>
    </row>
    <row r="72" spans="1:26" ht="59" customHeight="1" x14ac:dyDescent="0.2">
      <c r="A72" s="90" t="s">
        <v>257</v>
      </c>
      <c r="B72" s="88"/>
      <c r="C72" s="88"/>
      <c r="D72" s="88"/>
      <c r="E72" s="89"/>
      <c r="F72" s="92" t="s">
        <v>270</v>
      </c>
      <c r="G72" s="83"/>
      <c r="H72" s="83"/>
      <c r="I72" s="83"/>
      <c r="J72" s="83"/>
      <c r="K72" s="83"/>
      <c r="L72" s="84"/>
      <c r="M72" s="64"/>
      <c r="N72" s="64"/>
      <c r="Z72" s="64"/>
    </row>
    <row r="73" spans="1:26" ht="15" customHeight="1" x14ac:dyDescent="0.2">
      <c r="A73" s="77"/>
      <c r="B73" s="70"/>
      <c r="C73" s="70"/>
      <c r="D73" s="70"/>
      <c r="E73" s="70"/>
      <c r="F73" s="78"/>
      <c r="G73" s="78"/>
      <c r="H73" s="78"/>
      <c r="I73" s="78"/>
      <c r="J73" s="78"/>
      <c r="K73" s="78"/>
      <c r="L73" s="74"/>
      <c r="M73" s="64"/>
      <c r="N73" s="64"/>
      <c r="Z73" s="64"/>
    </row>
    <row r="74" spans="1:26" ht="60" customHeight="1" x14ac:dyDescent="0.2">
      <c r="A74" s="90" t="s">
        <v>258</v>
      </c>
      <c r="B74" s="88"/>
      <c r="C74" s="88"/>
      <c r="D74" s="88"/>
      <c r="E74" s="89"/>
      <c r="F74" s="92" t="s">
        <v>271</v>
      </c>
      <c r="G74" s="83"/>
      <c r="H74" s="83"/>
      <c r="I74" s="83"/>
      <c r="J74" s="83"/>
      <c r="K74" s="83"/>
      <c r="L74" s="84"/>
      <c r="M74" s="64"/>
      <c r="N74" s="64"/>
      <c r="Z74" s="64"/>
    </row>
    <row r="75" spans="1:26" ht="15" customHeight="1" x14ac:dyDescent="0.2">
      <c r="A75" s="80"/>
      <c r="B75" s="81"/>
      <c r="C75" s="81"/>
      <c r="D75" s="81"/>
      <c r="E75" s="81"/>
      <c r="F75" s="78"/>
      <c r="G75" s="78"/>
      <c r="H75" s="78"/>
      <c r="I75" s="78"/>
      <c r="J75" s="78"/>
      <c r="K75" s="78"/>
      <c r="L75" s="74"/>
      <c r="M75" s="64"/>
      <c r="N75" s="64"/>
      <c r="Z75" s="64"/>
    </row>
    <row r="76" spans="1:26" ht="60" customHeight="1" x14ac:dyDescent="0.2">
      <c r="A76" s="90" t="s">
        <v>259</v>
      </c>
      <c r="B76" s="88"/>
      <c r="C76" s="88"/>
      <c r="D76" s="88"/>
      <c r="E76" s="89"/>
      <c r="F76" s="92" t="s">
        <v>272</v>
      </c>
      <c r="G76" s="83"/>
      <c r="H76" s="83"/>
      <c r="I76" s="83"/>
      <c r="J76" s="83"/>
      <c r="K76" s="83"/>
      <c r="L76" s="84"/>
      <c r="M76" s="64"/>
      <c r="N76" s="64"/>
      <c r="Z76" s="64"/>
    </row>
    <row r="77" spans="1:26" ht="15" customHeight="1" x14ac:dyDescent="0.2">
      <c r="A77" s="80"/>
      <c r="B77" s="81"/>
      <c r="C77" s="81"/>
      <c r="D77" s="81"/>
      <c r="E77" s="81"/>
      <c r="F77" s="78"/>
      <c r="G77" s="78"/>
      <c r="H77" s="78"/>
      <c r="I77" s="78"/>
      <c r="J77" s="78"/>
      <c r="K77" s="78"/>
      <c r="L77" s="74"/>
      <c r="M77" s="64"/>
      <c r="N77" s="64"/>
      <c r="Z77" s="64"/>
    </row>
    <row r="78" spans="1:26" ht="59" customHeight="1" x14ac:dyDescent="0.2">
      <c r="A78" s="90" t="s">
        <v>260</v>
      </c>
      <c r="B78" s="88"/>
      <c r="C78" s="88"/>
      <c r="D78" s="88"/>
      <c r="E78" s="89"/>
      <c r="F78" s="92" t="s">
        <v>273</v>
      </c>
      <c r="G78" s="83"/>
      <c r="H78" s="83"/>
      <c r="I78" s="83"/>
      <c r="J78" s="83"/>
      <c r="K78" s="83"/>
      <c r="L78" s="84"/>
      <c r="M78" s="64"/>
      <c r="N78" s="64"/>
      <c r="Z78" s="64"/>
    </row>
    <row r="79" spans="1:26" ht="15" customHeight="1" x14ac:dyDescent="0.2">
      <c r="A79" s="77"/>
      <c r="B79" s="70"/>
      <c r="C79" s="70"/>
      <c r="D79" s="70"/>
      <c r="E79" s="70"/>
      <c r="F79" s="78"/>
      <c r="G79" s="78"/>
      <c r="H79" s="78"/>
      <c r="I79" s="78"/>
      <c r="J79" s="78"/>
      <c r="K79" s="78"/>
      <c r="L79" s="74"/>
      <c r="M79" s="64"/>
      <c r="N79" s="64"/>
      <c r="Z79" s="64"/>
    </row>
    <row r="80" spans="1:26" ht="59" customHeight="1" x14ac:dyDescent="0.2">
      <c r="A80" s="90" t="s">
        <v>261</v>
      </c>
      <c r="B80" s="83"/>
      <c r="C80" s="83"/>
      <c r="D80" s="83"/>
      <c r="E80" s="91"/>
      <c r="F80" s="92" t="s">
        <v>274</v>
      </c>
      <c r="G80" s="83"/>
      <c r="H80" s="83"/>
      <c r="I80" s="83"/>
      <c r="J80" s="83"/>
      <c r="K80" s="83"/>
      <c r="L80" s="84"/>
      <c r="M80" s="64"/>
      <c r="N80" s="64"/>
      <c r="Z80" s="64"/>
    </row>
    <row r="81" spans="1:26" ht="15" customHeight="1" x14ac:dyDescent="0.2">
      <c r="A81" s="77"/>
      <c r="B81" s="70"/>
      <c r="C81" s="70"/>
      <c r="D81" s="70"/>
      <c r="E81" s="70"/>
      <c r="F81" s="79"/>
      <c r="G81" s="79"/>
      <c r="H81" s="79"/>
      <c r="I81" s="79"/>
      <c r="J81" s="79"/>
      <c r="K81" s="79"/>
      <c r="L81" s="71"/>
      <c r="M81" s="64"/>
      <c r="N81" s="64"/>
      <c r="Z81" s="64"/>
    </row>
    <row r="82" spans="1:26" ht="59" customHeight="1" x14ac:dyDescent="0.2">
      <c r="A82" s="90" t="s">
        <v>262</v>
      </c>
      <c r="B82" s="83"/>
      <c r="C82" s="83"/>
      <c r="D82" s="83"/>
      <c r="E82" s="91"/>
      <c r="F82" s="92" t="s">
        <v>275</v>
      </c>
      <c r="G82" s="83"/>
      <c r="H82" s="83"/>
      <c r="I82" s="83"/>
      <c r="J82" s="83"/>
      <c r="K82" s="83"/>
      <c r="L82" s="84"/>
      <c r="M82" s="64"/>
      <c r="N82" s="64"/>
      <c r="Z82" s="64"/>
    </row>
    <row r="83" spans="1:26" ht="15" customHeight="1" x14ac:dyDescent="0.2">
      <c r="A83" s="77"/>
      <c r="B83" s="70"/>
      <c r="C83" s="70"/>
      <c r="D83" s="70"/>
      <c r="E83" s="70"/>
      <c r="F83" s="79"/>
      <c r="G83" s="79"/>
      <c r="H83" s="79"/>
      <c r="I83" s="79"/>
      <c r="J83" s="79"/>
      <c r="K83" s="79"/>
      <c r="L83" s="71"/>
      <c r="M83" s="64"/>
      <c r="N83" s="64"/>
      <c r="Z83" s="64"/>
    </row>
    <row r="84" spans="1:26" ht="15" customHeight="1" x14ac:dyDescent="0.2">
      <c r="A84" s="90"/>
      <c r="B84" s="83"/>
      <c r="C84" s="83"/>
      <c r="D84" s="83"/>
      <c r="E84" s="91"/>
      <c r="F84" s="92"/>
      <c r="G84" s="83"/>
      <c r="H84" s="83"/>
      <c r="I84" s="83"/>
      <c r="J84" s="83"/>
      <c r="K84" s="83"/>
      <c r="L84" s="84"/>
      <c r="M84" s="64"/>
      <c r="N84" s="64"/>
      <c r="Z84" s="64"/>
    </row>
    <row r="85" spans="1:26" ht="15" customHeight="1" x14ac:dyDescent="0.2">
      <c r="A85" s="77"/>
      <c r="B85" s="70"/>
      <c r="C85" s="70"/>
      <c r="D85" s="70"/>
      <c r="E85" s="70"/>
      <c r="F85" s="78"/>
      <c r="G85" s="78"/>
      <c r="H85" s="78"/>
      <c r="I85" s="78"/>
      <c r="J85" s="78"/>
      <c r="K85" s="78"/>
      <c r="L85" s="74"/>
      <c r="M85" s="64"/>
      <c r="N85" s="64"/>
      <c r="Z85" s="64"/>
    </row>
    <row r="86" spans="1:26" ht="15" customHeight="1" x14ac:dyDescent="0.2">
      <c r="A86" s="90"/>
      <c r="B86" s="83"/>
      <c r="C86" s="83"/>
      <c r="D86" s="83"/>
      <c r="E86" s="91"/>
      <c r="F86" s="92"/>
      <c r="G86" s="83"/>
      <c r="H86" s="83"/>
      <c r="I86" s="83"/>
      <c r="J86" s="83"/>
      <c r="K86" s="83"/>
      <c r="L86" s="84"/>
      <c r="M86" s="64"/>
      <c r="N86" s="64"/>
      <c r="Z86" s="64"/>
    </row>
    <row r="87" spans="1:26" ht="15" customHeight="1" x14ac:dyDescent="0.2">
      <c r="A87" s="77"/>
      <c r="B87" s="70"/>
      <c r="C87" s="70"/>
      <c r="D87" s="70"/>
      <c r="E87" s="70"/>
      <c r="F87" s="78"/>
      <c r="G87" s="78"/>
      <c r="H87" s="78"/>
      <c r="I87" s="78"/>
      <c r="J87" s="78"/>
      <c r="K87" s="78"/>
      <c r="L87" s="74"/>
      <c r="M87" s="64"/>
      <c r="N87" s="64"/>
      <c r="Z87" s="64"/>
    </row>
    <row r="88" spans="1:26" ht="14" customHeight="1" thickBot="1" x14ac:dyDescent="0.25">
      <c r="A88" s="75"/>
      <c r="B88" s="72"/>
      <c r="C88" s="72"/>
      <c r="D88" s="72"/>
      <c r="E88" s="73"/>
      <c r="F88" s="85"/>
      <c r="G88" s="86"/>
      <c r="H88" s="86"/>
      <c r="I88" s="86"/>
      <c r="J88" s="86"/>
      <c r="K88" s="86"/>
      <c r="L88" s="87"/>
      <c r="M88" s="64"/>
      <c r="N88" s="64"/>
      <c r="Z88" s="64"/>
    </row>
    <row r="89" spans="1:26" ht="13.5" customHeight="1" thickBot="1" x14ac:dyDescent="0.25">
      <c r="A89" s="65"/>
      <c r="B89" s="65"/>
      <c r="C89" s="65"/>
      <c r="D89" s="65"/>
      <c r="E89" s="65"/>
      <c r="F89" s="65"/>
      <c r="G89" s="65"/>
      <c r="H89" s="65"/>
      <c r="I89" s="65"/>
      <c r="J89" s="65"/>
      <c r="K89" s="65"/>
      <c r="L89" s="65"/>
      <c r="M89" s="64"/>
      <c r="N89" s="64"/>
      <c r="Z89" s="64"/>
    </row>
    <row r="90" spans="1:26" ht="15" customHeight="1" x14ac:dyDescent="0.2">
      <c r="A90" s="134" t="s">
        <v>237</v>
      </c>
      <c r="B90" s="131"/>
      <c r="C90" s="131"/>
      <c r="D90" s="131"/>
      <c r="E90" s="131"/>
      <c r="F90" s="131"/>
      <c r="G90" s="131"/>
      <c r="H90" s="131"/>
      <c r="I90" s="131"/>
      <c r="J90" s="131"/>
      <c r="K90" s="131"/>
      <c r="L90" s="133"/>
      <c r="M90" s="64"/>
      <c r="N90" s="64"/>
      <c r="Z90" s="64"/>
    </row>
    <row r="91" spans="1:26" ht="12.75" customHeight="1" x14ac:dyDescent="0.2">
      <c r="A91" s="160" t="s">
        <v>238</v>
      </c>
      <c r="B91" s="112"/>
      <c r="C91" s="113"/>
      <c r="D91" s="140" t="s">
        <v>239</v>
      </c>
      <c r="E91" s="112"/>
      <c r="F91" s="112"/>
      <c r="G91" s="112"/>
      <c r="H91" s="113"/>
      <c r="I91" s="140" t="s">
        <v>240</v>
      </c>
      <c r="J91" s="112"/>
      <c r="K91" s="113"/>
      <c r="L91" s="66" t="s">
        <v>134</v>
      </c>
      <c r="M91" s="64"/>
      <c r="N91" s="64"/>
      <c r="Z91" s="64"/>
    </row>
    <row r="92" spans="1:26" ht="37" customHeight="1" x14ac:dyDescent="0.2">
      <c r="A92" s="178" t="s">
        <v>276</v>
      </c>
      <c r="B92" s="112"/>
      <c r="C92" s="113"/>
      <c r="D92" s="179" t="s">
        <v>277</v>
      </c>
      <c r="E92" s="112"/>
      <c r="F92" s="112"/>
      <c r="G92" s="112"/>
      <c r="H92" s="113"/>
      <c r="I92" s="179" t="s">
        <v>288</v>
      </c>
      <c r="J92" s="112"/>
      <c r="K92" s="113"/>
      <c r="L92" s="67">
        <v>2022</v>
      </c>
      <c r="M92" s="64"/>
      <c r="N92" s="64"/>
      <c r="Z92" s="64"/>
    </row>
    <row r="93" spans="1:26" ht="37" customHeight="1" x14ac:dyDescent="0.2">
      <c r="A93" s="178" t="s">
        <v>278</v>
      </c>
      <c r="B93" s="112"/>
      <c r="C93" s="113"/>
      <c r="D93" s="179" t="s">
        <v>279</v>
      </c>
      <c r="E93" s="112"/>
      <c r="F93" s="112"/>
      <c r="G93" s="112"/>
      <c r="H93" s="113"/>
      <c r="I93" s="179" t="s">
        <v>280</v>
      </c>
      <c r="J93" s="112"/>
      <c r="K93" s="113"/>
      <c r="L93" s="67">
        <v>2022</v>
      </c>
      <c r="M93" s="64"/>
      <c r="N93" s="64"/>
      <c r="Z93" s="64"/>
    </row>
    <row r="94" spans="1:26" ht="37" customHeight="1" x14ac:dyDescent="0.2">
      <c r="A94" s="178" t="s">
        <v>281</v>
      </c>
      <c r="B94" s="112"/>
      <c r="C94" s="113"/>
      <c r="D94" s="179" t="s">
        <v>282</v>
      </c>
      <c r="E94" s="112"/>
      <c r="F94" s="112"/>
      <c r="G94" s="112"/>
      <c r="H94" s="113"/>
      <c r="I94" s="179" t="s">
        <v>283</v>
      </c>
      <c r="J94" s="112"/>
      <c r="K94" s="113"/>
      <c r="L94" s="67">
        <v>2022</v>
      </c>
      <c r="M94" s="64"/>
      <c r="N94" s="64"/>
      <c r="Z94" s="64"/>
    </row>
    <row r="95" spans="1:26" ht="37" customHeight="1" x14ac:dyDescent="0.2">
      <c r="A95" s="178" t="s">
        <v>284</v>
      </c>
      <c r="B95" s="112"/>
      <c r="C95" s="113"/>
      <c r="D95" s="179" t="s">
        <v>285</v>
      </c>
      <c r="E95" s="112"/>
      <c r="F95" s="112"/>
      <c r="G95" s="112"/>
      <c r="H95" s="113"/>
      <c r="I95" s="179" t="s">
        <v>280</v>
      </c>
      <c r="J95" s="112"/>
      <c r="K95" s="113"/>
      <c r="L95" s="67">
        <v>2022</v>
      </c>
      <c r="M95" s="64"/>
      <c r="N95" s="64"/>
      <c r="Z95" s="64"/>
    </row>
    <row r="96" spans="1:26" ht="37" customHeight="1" x14ac:dyDescent="0.2">
      <c r="A96" s="178" t="s">
        <v>286</v>
      </c>
      <c r="B96" s="112"/>
      <c r="C96" s="113"/>
      <c r="D96" s="179" t="s">
        <v>287</v>
      </c>
      <c r="E96" s="112"/>
      <c r="F96" s="112"/>
      <c r="G96" s="112"/>
      <c r="H96" s="113"/>
      <c r="I96" s="179" t="s">
        <v>280</v>
      </c>
      <c r="J96" s="112"/>
      <c r="K96" s="113"/>
      <c r="L96" s="67">
        <v>2017</v>
      </c>
      <c r="M96" s="64"/>
      <c r="N96" s="64"/>
      <c r="Z96" s="64"/>
    </row>
    <row r="97" spans="1:26" ht="37" customHeight="1" x14ac:dyDescent="0.2">
      <c r="A97" s="136"/>
      <c r="B97" s="112"/>
      <c r="C97" s="113"/>
      <c r="D97" s="155"/>
      <c r="E97" s="112"/>
      <c r="F97" s="112"/>
      <c r="G97" s="112"/>
      <c r="H97" s="113"/>
      <c r="I97" s="155"/>
      <c r="J97" s="112"/>
      <c r="K97" s="113"/>
      <c r="L97" s="67"/>
      <c r="M97" s="64"/>
      <c r="N97" s="64"/>
      <c r="Z97" s="64"/>
    </row>
    <row r="98" spans="1:26" ht="37" customHeight="1" x14ac:dyDescent="0.2">
      <c r="A98" s="145"/>
      <c r="B98" s="138"/>
      <c r="C98" s="139"/>
      <c r="D98" s="143"/>
      <c r="E98" s="138"/>
      <c r="F98" s="138"/>
      <c r="G98" s="138"/>
      <c r="H98" s="139"/>
      <c r="I98" s="143"/>
      <c r="J98" s="138"/>
      <c r="K98" s="139"/>
      <c r="L98" s="68"/>
      <c r="M98" s="64"/>
      <c r="N98" s="64"/>
      <c r="Z98" s="64"/>
    </row>
    <row r="99" spans="1:26" ht="13.5" customHeight="1" x14ac:dyDescent="0.2">
      <c r="A99" s="154"/>
      <c r="B99" s="109"/>
      <c r="C99" s="109"/>
      <c r="D99" s="109"/>
      <c r="E99" s="109"/>
      <c r="F99" s="109"/>
      <c r="G99" s="109"/>
      <c r="H99" s="109"/>
      <c r="I99" s="109"/>
      <c r="J99" s="109"/>
      <c r="K99" s="109"/>
      <c r="L99" s="109"/>
      <c r="M99" s="64"/>
      <c r="N99" s="64"/>
      <c r="Z99" s="64"/>
    </row>
    <row r="100" spans="1:26" ht="15" customHeight="1" x14ac:dyDescent="0.2">
      <c r="A100" s="134" t="s">
        <v>241</v>
      </c>
      <c r="B100" s="131"/>
      <c r="C100" s="131"/>
      <c r="D100" s="131"/>
      <c r="E100" s="131"/>
      <c r="F100" s="131"/>
      <c r="G100" s="131"/>
      <c r="H100" s="131"/>
      <c r="I100" s="131"/>
      <c r="J100" s="131"/>
      <c r="K100" s="131"/>
      <c r="L100" s="133"/>
      <c r="M100" s="64"/>
      <c r="N100" s="64"/>
      <c r="Z100" s="64"/>
    </row>
    <row r="101" spans="1:26" ht="13.5" customHeight="1" x14ac:dyDescent="0.2">
      <c r="A101" s="145"/>
      <c r="B101" s="138"/>
      <c r="C101" s="138"/>
      <c r="D101" s="138"/>
      <c r="E101" s="138"/>
      <c r="F101" s="138"/>
      <c r="G101" s="138"/>
      <c r="H101" s="138"/>
      <c r="I101" s="138"/>
      <c r="J101" s="138"/>
      <c r="K101" s="138"/>
      <c r="L101" s="141"/>
      <c r="M101" s="64"/>
      <c r="N101" s="64"/>
      <c r="Z101" s="64"/>
    </row>
    <row r="102" spans="1:26" ht="13.5" customHeight="1" x14ac:dyDescent="0.2">
      <c r="A102" s="65"/>
      <c r="B102" s="65"/>
      <c r="C102" s="65"/>
      <c r="D102" s="65"/>
      <c r="E102" s="65"/>
      <c r="F102" s="65"/>
      <c r="G102" s="65"/>
      <c r="H102" s="65"/>
      <c r="I102" s="65"/>
      <c r="J102" s="65"/>
      <c r="K102" s="65"/>
      <c r="L102" s="65"/>
      <c r="M102" s="64"/>
      <c r="N102" s="64"/>
      <c r="Z102" s="64"/>
    </row>
    <row r="103" spans="1:26" ht="15" customHeight="1" x14ac:dyDescent="0.2">
      <c r="A103" s="153" t="s">
        <v>242</v>
      </c>
      <c r="B103" s="131"/>
      <c r="C103" s="131"/>
      <c r="D103" s="131"/>
      <c r="E103" s="131"/>
      <c r="F103" s="131"/>
      <c r="G103" s="131"/>
      <c r="H103" s="131"/>
      <c r="I103" s="131"/>
      <c r="J103" s="131"/>
      <c r="K103" s="131"/>
      <c r="L103" s="133"/>
      <c r="M103" s="64"/>
      <c r="N103" s="64"/>
      <c r="Z103" s="64"/>
    </row>
    <row r="104" spans="1:26" ht="13.5" customHeight="1" x14ac:dyDescent="0.2">
      <c r="A104" s="151" t="s">
        <v>243</v>
      </c>
      <c r="B104" s="138"/>
      <c r="C104" s="138"/>
      <c r="D104" s="139"/>
      <c r="E104" s="152"/>
      <c r="F104" s="138"/>
      <c r="G104" s="138"/>
      <c r="H104" s="139"/>
      <c r="I104" s="137" t="s">
        <v>244</v>
      </c>
      <c r="J104" s="138"/>
      <c r="K104" s="139"/>
      <c r="L104" s="68"/>
      <c r="M104" s="64"/>
      <c r="N104" s="64"/>
      <c r="Z104" s="64"/>
    </row>
    <row r="105" spans="1:26" ht="12.75" customHeight="1" x14ac:dyDescent="0.2">
      <c r="A105" s="30"/>
      <c r="B105" s="30"/>
      <c r="C105" s="69"/>
      <c r="D105" s="69"/>
      <c r="E105" s="69"/>
      <c r="F105" s="30"/>
      <c r="G105" s="30"/>
      <c r="H105" s="65"/>
      <c r="I105" s="65"/>
      <c r="J105" s="65"/>
      <c r="K105" s="65"/>
      <c r="L105" s="65"/>
      <c r="M105" s="64"/>
      <c r="N105" s="64"/>
      <c r="Z105" s="64"/>
    </row>
    <row r="106" spans="1:26" ht="12.75" customHeight="1" x14ac:dyDescent="0.2">
      <c r="A106" s="150" t="s">
        <v>245</v>
      </c>
      <c r="B106" s="109"/>
      <c r="C106" s="109"/>
      <c r="D106" s="109"/>
      <c r="E106" s="109"/>
      <c r="F106" s="109"/>
      <c r="G106" s="109"/>
      <c r="H106" s="109"/>
      <c r="I106" s="109"/>
      <c r="J106" s="109"/>
      <c r="K106" s="109"/>
      <c r="L106" s="109"/>
      <c r="M106" s="64"/>
      <c r="N106" s="64"/>
      <c r="Z106" s="64"/>
    </row>
    <row r="107" spans="1:26" ht="15" customHeight="1" x14ac:dyDescent="0.2">
      <c r="A107" s="149" t="s">
        <v>246</v>
      </c>
      <c r="B107" s="109"/>
      <c r="C107" s="109"/>
      <c r="D107" s="109"/>
      <c r="E107" s="109"/>
      <c r="F107" s="109"/>
      <c r="G107" s="109"/>
      <c r="H107" s="109"/>
      <c r="I107" s="109"/>
      <c r="J107" s="109"/>
      <c r="K107" s="109"/>
      <c r="L107" s="109"/>
      <c r="M107" s="64"/>
      <c r="N107" s="64"/>
      <c r="Z107" s="64"/>
    </row>
    <row r="108" spans="1:26" ht="12.75" customHeight="1" x14ac:dyDescent="0.2">
      <c r="A108" s="2"/>
      <c r="B108" s="2"/>
      <c r="C108" s="2"/>
      <c r="D108" s="2"/>
      <c r="E108" s="2"/>
      <c r="F108" s="2"/>
      <c r="G108" s="2"/>
      <c r="H108" s="2"/>
      <c r="I108" s="2"/>
      <c r="J108" s="2"/>
      <c r="K108" s="2"/>
      <c r="L108" s="2"/>
      <c r="M108" s="64"/>
      <c r="N108" s="64"/>
      <c r="Z108" s="64"/>
    </row>
  </sheetData>
  <mergeCells count="143">
    <mergeCell ref="H25:K25"/>
    <mergeCell ref="A27:L27"/>
    <mergeCell ref="C28:F28"/>
    <mergeCell ref="H28:K28"/>
    <mergeCell ref="A30:L30"/>
    <mergeCell ref="B31:J31"/>
    <mergeCell ref="K31:L31"/>
    <mergeCell ref="F62:L62"/>
    <mergeCell ref="A18:E18"/>
    <mergeCell ref="F18:L18"/>
    <mergeCell ref="A23:C23"/>
    <mergeCell ref="D23:E23"/>
    <mergeCell ref="H23:K24"/>
    <mergeCell ref="L23:L24"/>
    <mergeCell ref="F20:L20"/>
    <mergeCell ref="B32:J32"/>
    <mergeCell ref="K32:L32"/>
    <mergeCell ref="B38:D38"/>
    <mergeCell ref="B39:D39"/>
    <mergeCell ref="A62:E62"/>
    <mergeCell ref="A64:E64"/>
    <mergeCell ref="A66:E66"/>
    <mergeCell ref="A68:E68"/>
    <mergeCell ref="X41:X45"/>
    <mergeCell ref="X46:X62"/>
    <mergeCell ref="X29:X37"/>
    <mergeCell ref="X39:X40"/>
    <mergeCell ref="A42:F42"/>
    <mergeCell ref="A56:E56"/>
    <mergeCell ref="F56:L56"/>
    <mergeCell ref="A57:E57"/>
    <mergeCell ref="A90:L90"/>
    <mergeCell ref="A91:C91"/>
    <mergeCell ref="I91:K91"/>
    <mergeCell ref="A92:C92"/>
    <mergeCell ref="A47:L53"/>
    <mergeCell ref="A55:L55"/>
    <mergeCell ref="F57:L57"/>
    <mergeCell ref="A44:L44"/>
    <mergeCell ref="A46:L46"/>
    <mergeCell ref="I97:K97"/>
    <mergeCell ref="I98:K98"/>
    <mergeCell ref="A93:C93"/>
    <mergeCell ref="D93:H93"/>
    <mergeCell ref="A94:C94"/>
    <mergeCell ref="D94:H94"/>
    <mergeCell ref="I94:K94"/>
    <mergeCell ref="D92:H92"/>
    <mergeCell ref="I92:K92"/>
    <mergeCell ref="X65:X66"/>
    <mergeCell ref="X67:X68"/>
    <mergeCell ref="X63:X64"/>
    <mergeCell ref="A95:C95"/>
    <mergeCell ref="D95:H95"/>
    <mergeCell ref="A107:L107"/>
    <mergeCell ref="A106:L106"/>
    <mergeCell ref="A104:D104"/>
    <mergeCell ref="I104:K104"/>
    <mergeCell ref="E104:H104"/>
    <mergeCell ref="A97:C97"/>
    <mergeCell ref="A98:C98"/>
    <mergeCell ref="D91:H91"/>
    <mergeCell ref="D98:H98"/>
    <mergeCell ref="I93:K93"/>
    <mergeCell ref="A101:L101"/>
    <mergeCell ref="A103:L103"/>
    <mergeCell ref="A100:L100"/>
    <mergeCell ref="A99:L99"/>
    <mergeCell ref="I95:K95"/>
    <mergeCell ref="A96:C96"/>
    <mergeCell ref="D96:H96"/>
    <mergeCell ref="I96:K96"/>
    <mergeCell ref="D97:H97"/>
    <mergeCell ref="A16:E16"/>
    <mergeCell ref="F40:J40"/>
    <mergeCell ref="F19:L19"/>
    <mergeCell ref="F36:J36"/>
    <mergeCell ref="K40:L40"/>
    <mergeCell ref="K36:L36"/>
    <mergeCell ref="K38:L38"/>
    <mergeCell ref="K39:L39"/>
    <mergeCell ref="A35:L35"/>
    <mergeCell ref="B33:J33"/>
    <mergeCell ref="K33:L33"/>
    <mergeCell ref="F38:J38"/>
    <mergeCell ref="F39:J39"/>
    <mergeCell ref="B36:D36"/>
    <mergeCell ref="B37:D37"/>
    <mergeCell ref="K37:L37"/>
    <mergeCell ref="F37:J37"/>
    <mergeCell ref="A19:E19"/>
    <mergeCell ref="A20:E20"/>
    <mergeCell ref="A22:F22"/>
    <mergeCell ref="H22:L22"/>
    <mergeCell ref="B40:D40"/>
    <mergeCell ref="A17:E17"/>
    <mergeCell ref="F17:L17"/>
    <mergeCell ref="O1:O2"/>
    <mergeCell ref="P1:P2"/>
    <mergeCell ref="Q1:Q2"/>
    <mergeCell ref="X1:X2"/>
    <mergeCell ref="X3:X13"/>
    <mergeCell ref="X15:X25"/>
    <mergeCell ref="X26:X28"/>
    <mergeCell ref="A58:E58"/>
    <mergeCell ref="A60:E60"/>
    <mergeCell ref="F58:L58"/>
    <mergeCell ref="F60:L60"/>
    <mergeCell ref="E11:I11"/>
    <mergeCell ref="E13:L13"/>
    <mergeCell ref="F16:L16"/>
    <mergeCell ref="A1:L1"/>
    <mergeCell ref="A2:L2"/>
    <mergeCell ref="A3:L3"/>
    <mergeCell ref="A4:L4"/>
    <mergeCell ref="A6:L6"/>
    <mergeCell ref="A7:L8"/>
    <mergeCell ref="F15:I15"/>
    <mergeCell ref="J15:L15"/>
    <mergeCell ref="A15:E15"/>
    <mergeCell ref="A13:D13"/>
    <mergeCell ref="A70:E70"/>
    <mergeCell ref="A72:E72"/>
    <mergeCell ref="A74:E74"/>
    <mergeCell ref="A76:E76"/>
    <mergeCell ref="A78:E78"/>
    <mergeCell ref="A84:E84"/>
    <mergeCell ref="A86:E86"/>
    <mergeCell ref="F86:L86"/>
    <mergeCell ref="F84:L84"/>
    <mergeCell ref="A80:E80"/>
    <mergeCell ref="F80:L80"/>
    <mergeCell ref="A82:E82"/>
    <mergeCell ref="F82:L82"/>
    <mergeCell ref="F64:L64"/>
    <mergeCell ref="F66:L66"/>
    <mergeCell ref="F68:L68"/>
    <mergeCell ref="F70:L70"/>
    <mergeCell ref="F72:L72"/>
    <mergeCell ref="F74:L74"/>
    <mergeCell ref="F76:L76"/>
    <mergeCell ref="F78:L78"/>
    <mergeCell ref="F88:L88"/>
  </mergeCells>
  <dataValidations disablePrompts="1" count="4">
    <dataValidation type="list" allowBlank="1" showInputMessage="1" showErrorMessage="1" prompt=" - " sqref="K37:K40" xr:uid="{00000000-0002-0000-0000-000000000000}">
      <formula1>abop</formula1>
    </dataValidation>
    <dataValidation type="list" allowBlank="1" showInputMessage="1" showErrorMessage="1" prompt=" - " sqref="B37:B40" xr:uid="{00000000-0002-0000-0000-000001000000}">
      <formula1>programa</formula1>
    </dataValidation>
    <dataValidation type="list" allowBlank="1" showInputMessage="1" showErrorMessage="1" prompt=" - " sqref="E37:E40" xr:uid="{00000000-0002-0000-0000-000002000000}">
      <formula1>componentes</formula1>
    </dataValidation>
    <dataValidation type="list" allowBlank="1" showInputMessage="1" showErrorMessage="1" prompt=" - " sqref="K32:K33" xr:uid="{00000000-0002-0000-0000-000003000000}">
      <formula1>req</formula1>
    </dataValidation>
  </dataValidations>
  <pageMargins left="0.7" right="0.7" top="0.75" bottom="0.75" header="0" footer="0"/>
  <pageSetup orientation="landscape"/>
  <headerFooter>
    <oddFooter>&amp;LFormato de PROGRAMA-ASIGNATURA de pregrado&amp;RPágina &amp;P de</oddFooter>
  </headerFooter>
  <drawing r:id="rId1"/>
  <legacy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17</vt:i4>
      </vt:variant>
    </vt:vector>
  </HeadingPairs>
  <TitlesOfParts>
    <vt:vector size="18" baseType="lpstr">
      <vt:lpstr>Formato Asignatura Pregrado</vt:lpstr>
      <vt:lpstr>abop</vt:lpstr>
      <vt:lpstr>año</vt:lpstr>
      <vt:lpstr>componentes</vt:lpstr>
      <vt:lpstr>DIA</vt:lpstr>
      <vt:lpstr>dias</vt:lpstr>
      <vt:lpstr>fac_bo</vt:lpstr>
      <vt:lpstr>fac_ma</vt:lpstr>
      <vt:lpstr>fac_me</vt:lpstr>
      <vt:lpstr>fac_pa</vt:lpstr>
      <vt:lpstr>mes</vt:lpstr>
      <vt:lpstr>NS</vt:lpstr>
      <vt:lpstr>programa</vt:lpstr>
      <vt:lpstr>req</vt:lpstr>
      <vt:lpstr>SEDES</vt:lpstr>
      <vt:lpstr>unid_bo</vt:lpstr>
      <vt:lpstr>unid_ma</vt:lpstr>
      <vt:lpstr>'Formato Asignatura Pregrado'!Z_4661FE06_EA67_45E7_A7C9_E76C84D0CD8A_.wvu.PrintTitles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Juan David Velasquez</cp:lastModifiedBy>
  <cp:lastPrinted>2011-09-08T18:27:32Z</cp:lastPrinted>
  <dcterms:created xsi:type="dcterms:W3CDTF">2011-02-25T22:50:37Z</dcterms:created>
  <dcterms:modified xsi:type="dcterms:W3CDTF">2026-09-24T22:23:02Z</dcterms:modified>
</cp:coreProperties>
</file>